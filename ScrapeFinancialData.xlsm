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hidePivotFieldList="1"/>
  <mc:AlternateContent xmlns:mc="http://schemas.openxmlformats.org/markup-compatibility/2006">
    <mc:Choice Requires="x15">
      <x15ac:absPath xmlns:x15ac="http://schemas.microsoft.com/office/spreadsheetml/2010/11/ac" url="C:\Users\arvid\OneDrive\Skrivbord\Hemsida\"/>
    </mc:Choice>
  </mc:AlternateContent>
  <xr:revisionPtr revIDLastSave="0" documentId="13_ncr:1_{9798C840-75B0-4100-B548-573EA0173C85}" xr6:coauthVersionLast="41" xr6:coauthVersionMax="41" xr10:uidLastSave="{00000000-0000-0000-0000-000000000000}"/>
  <bookViews>
    <workbookView xWindow="-108" yWindow="-108" windowWidth="23256" windowHeight="12576" tabRatio="762" activeTab="5" xr2:uid="{00000000-000D-0000-FFFF-FFFF00000000}"/>
  </bookViews>
  <sheets>
    <sheet name="SearchSheet" sheetId="15" r:id="rId1"/>
    <sheet name="MSFT" sheetId="107" r:id="rId2"/>
    <sheet name="XVIVO.ST" sheetId="106" r:id="rId3"/>
    <sheet name="1H3.SI" sheetId="105" r:id="rId4"/>
    <sheet name="AMZN" sheetId="103" r:id="rId5"/>
    <sheet name="C31.SI" sheetId="102" r:id="rId6"/>
    <sheet name="Overview" sheetId="1" state="hidden" r:id="rId7"/>
    <sheet name="Data" sheetId="2" state="hidden" r:id="rId8"/>
  </sheets>
  <definedNames>
    <definedName name="BetaValue" localSheetId="3">'1H3.SI'!$B$7</definedName>
    <definedName name="BetaValue" localSheetId="4">AMZN!$B$7</definedName>
    <definedName name="BetaValue" localSheetId="5">'C31.SI'!$B$7</definedName>
    <definedName name="BetaValue" localSheetId="1">MSFT!$B$7</definedName>
    <definedName name="BetaValue" localSheetId="2">XVIVO.ST!$B$7</definedName>
    <definedName name="BetaValue">Overview!$B$7</definedName>
    <definedName name="BSComp1">Data!$H$2</definedName>
    <definedName name="BusinessInfo" localSheetId="3">'1H3.SI'!$C$1</definedName>
    <definedName name="BusinessInfo" localSheetId="4">AMZN!$C$1</definedName>
    <definedName name="BusinessInfo" localSheetId="5">'C31.SI'!$C$1</definedName>
    <definedName name="BusinessInfo" localSheetId="1">MSFT!$C$1</definedName>
    <definedName name="BusinessInfo" localSheetId="2">XVIVO.ST!$C$1</definedName>
    <definedName name="BusinessInfo">Overview!$C$1</definedName>
    <definedName name="CFComp1">Data!$N$2</definedName>
    <definedName name="ChartDate">Data!$W$2</definedName>
    <definedName name="ChartOpen">Data!$X$2</definedName>
    <definedName name="CompName" localSheetId="3">'1H3.SI'!$A$1</definedName>
    <definedName name="CompName" localSheetId="4">AMZN!$A$1</definedName>
    <definedName name="CompName" localSheetId="5">'C31.SI'!$A$1</definedName>
    <definedName name="CompName" localSheetId="1">MSFT!$A$1</definedName>
    <definedName name="CompName" localSheetId="2">XVIVO.ST!$A$1</definedName>
    <definedName name="CompName">Overview!$A$1</definedName>
    <definedName name="CorruptData" localSheetId="3">'1H3.SI'!$A$11</definedName>
    <definedName name="CorruptData" localSheetId="4">AMZN!$A$11</definedName>
    <definedName name="CorruptData" localSheetId="5">'C31.SI'!$A$11</definedName>
    <definedName name="CorruptData" localSheetId="1">MSFT!$A$11</definedName>
    <definedName name="CorruptData" localSheetId="2">XVIVO.ST!$A$11</definedName>
    <definedName name="CorruptData">Overview!$A$11</definedName>
    <definedName name="CurrencyInfo" localSheetId="3">'1H3.SI'!$B$2</definedName>
    <definedName name="CurrencyInfo" localSheetId="4">AMZN!$B$2</definedName>
    <definedName name="CurrencyInfo" localSheetId="5">'C31.SI'!$B$2</definedName>
    <definedName name="CurrencyInfo" localSheetId="1">MSFT!$B$2</definedName>
    <definedName name="CurrencyInfo" localSheetId="2">XVIVO.ST!$B$2</definedName>
    <definedName name="CurrencyInfo">Overview!$B$2</definedName>
    <definedName name="DateComp" localSheetId="3">'1H3.SI'!$AA$2</definedName>
    <definedName name="DateComp" localSheetId="4">AMZN!$AA$2</definedName>
    <definedName name="DateComp" localSheetId="5">'C31.SI'!$AA$2</definedName>
    <definedName name="DateComp" localSheetId="1">MSFT!$AA$2</definedName>
    <definedName name="DateComp" localSheetId="2">XVIVO.ST!$AA$2</definedName>
    <definedName name="DateComp">Overview!$AA$2</definedName>
    <definedName name="EPS" localSheetId="3">'1H3.SI'!$B$6</definedName>
    <definedName name="EPS" localSheetId="4">AMZN!$B$6</definedName>
    <definedName name="EPS" localSheetId="5">'C31.SI'!$B$6</definedName>
    <definedName name="EPS" localSheetId="1">MSFT!$B$6</definedName>
    <definedName name="EPS" localSheetId="2">XVIVO.ST!$B$6</definedName>
    <definedName name="EPS">Overview!$B$6</definedName>
    <definedName name="ExternalData_1" localSheetId="7" hidden="1">Data!$AE$3:$AK$103</definedName>
    <definedName name="ExternalData_2" localSheetId="7" hidden="1">Data!$AO$3:$AU$103</definedName>
    <definedName name="ISComp1">Data!$B$2</definedName>
    <definedName name="MarketValue" localSheetId="3">'1H3.SI'!$B$4</definedName>
    <definedName name="MarketValue" localSheetId="4">AMZN!$B$4</definedName>
    <definedName name="MarketValue" localSheetId="5">'C31.SI'!$B$4</definedName>
    <definedName name="MarketValue" localSheetId="1">MSFT!$B$4</definedName>
    <definedName name="MarketValue" localSheetId="2">XVIVO.ST!$B$4</definedName>
    <definedName name="MarketValue">Overview!$B$4</definedName>
    <definedName name="OpenComp" localSheetId="3">'1H3.SI'!$AB$2</definedName>
    <definedName name="OpenComp" localSheetId="4">AMZN!$AB$2</definedName>
    <definedName name="OpenComp" localSheetId="5">'C31.SI'!$AB$2</definedName>
    <definedName name="OpenComp" localSheetId="1">MSFT!$AB$2</definedName>
    <definedName name="OpenComp" localSheetId="2">XVIVO.ST!$AB$2</definedName>
    <definedName name="OpenComp">Overview!$AB$2</definedName>
    <definedName name="OpenNewSheet" localSheetId="3">'1H3.SI'!#REF!</definedName>
    <definedName name="OpenNewSheet" localSheetId="4">AMZN!#REF!</definedName>
    <definedName name="OpenNewSheet" localSheetId="5">'C31.SI'!#REF!</definedName>
    <definedName name="OpenNewSheet" localSheetId="1">MSFT!#REF!</definedName>
    <definedName name="OpenNewSheet" localSheetId="2">XVIVO.ST!#REF!</definedName>
    <definedName name="OpenNewSheet">Overview!#REF!</definedName>
    <definedName name="PERatio" localSheetId="3">'1H3.SI'!$B$5</definedName>
    <definedName name="PERatio" localSheetId="4">AMZN!$B$5</definedName>
    <definedName name="PERatio" localSheetId="5">'C31.SI'!$B$5</definedName>
    <definedName name="PERatio" localSheetId="1">MSFT!$B$5</definedName>
    <definedName name="PERatio" localSheetId="2">XVIVO.ST!$B$5</definedName>
    <definedName name="PERatio">Overview!$B$5</definedName>
    <definedName name="ReportDate" localSheetId="3">'1H3.SI'!$B$13</definedName>
    <definedName name="ReportDate" localSheetId="4">AMZN!$B$13</definedName>
    <definedName name="ReportDate" localSheetId="5">'C31.SI'!$B$13</definedName>
    <definedName name="ReportDate" localSheetId="1">MSFT!$B$13</definedName>
    <definedName name="ReportDate" localSheetId="2">XVIVO.ST!$B$13</definedName>
    <definedName name="ReportDate">Overview!$B$13</definedName>
    <definedName name="RLC">SearchSheet!$R$5</definedName>
    <definedName name="SharePrice" localSheetId="3">'1H3.SI'!$B$3</definedName>
    <definedName name="SharePrice" localSheetId="4">AMZN!$B$3</definedName>
    <definedName name="SharePrice" localSheetId="5">'C31.SI'!$B$3</definedName>
    <definedName name="SharePrice" localSheetId="1">MSFT!$B$3</definedName>
    <definedName name="SharePrice" localSheetId="2">XVIVO.ST!$B$3</definedName>
    <definedName name="SharePrice">Overview!$B$3</definedName>
    <definedName name="Ticker">SearchSheet!$I$6</definedName>
    <definedName name="TotalRevenue" localSheetId="3">'1H3.SI'!#REF!</definedName>
    <definedName name="TotalRevenue" localSheetId="4">AMZN!#REF!</definedName>
    <definedName name="TotalRevenue" localSheetId="5">'C31.SI'!#REF!</definedName>
    <definedName name="TotalRevenue" localSheetId="1">MSFT!#REF!</definedName>
    <definedName name="TotalRevenue" localSheetId="2">XVIVO.ST!#REF!</definedName>
    <definedName name="TotalRevenue">Overview!#REF!</definedName>
    <definedName name="UpdateSettings">SearchSheet!$R$2</definedName>
    <definedName name="WeeksRange" localSheetId="3">'1H3.SI'!$B$8</definedName>
    <definedName name="WeeksRange" localSheetId="4">AMZN!$B$8</definedName>
    <definedName name="WeeksRange" localSheetId="5">'C31.SI'!$B$8</definedName>
    <definedName name="WeeksRange" localSheetId="1">MSFT!$B$8</definedName>
    <definedName name="WeeksRange" localSheetId="2">XVIVO.ST!$B$8</definedName>
    <definedName name="WeeksRange">Overview!$B$8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1" i="107" l="1"/>
  <c r="A10" i="107"/>
  <c r="A11" i="106" l="1"/>
  <c r="A10" i="106"/>
  <c r="A11" i="105" l="1"/>
  <c r="A10" i="105"/>
  <c r="A11" i="103"/>
  <c r="A10" i="103"/>
  <c r="A11" i="102" l="1"/>
  <c r="A10" i="102"/>
  <c r="O3" i="15" l="1"/>
  <c r="K3" i="15"/>
  <c r="M3" i="15" l="1"/>
  <c r="AN5" i="2" l="1"/>
  <c r="AM5" i="2" s="1"/>
  <c r="AN6" i="2"/>
  <c r="AM6" i="2" s="1"/>
  <c r="AN7" i="2"/>
  <c r="AM7" i="2" s="1"/>
  <c r="AN8" i="2"/>
  <c r="AM8" i="2" s="1"/>
  <c r="AN9" i="2"/>
  <c r="AM9" i="2" s="1"/>
  <c r="AN10" i="2"/>
  <c r="AM10" i="2" s="1"/>
  <c r="AN11" i="2"/>
  <c r="AM11" i="2" s="1"/>
  <c r="AN12" i="2"/>
  <c r="AM12" i="2" s="1"/>
  <c r="AN13" i="2"/>
  <c r="AM13" i="2" s="1"/>
  <c r="AN14" i="2"/>
  <c r="AM14" i="2" s="1"/>
  <c r="AN15" i="2"/>
  <c r="AM15" i="2" s="1"/>
  <c r="AN16" i="2"/>
  <c r="AM16" i="2" s="1"/>
  <c r="AN17" i="2"/>
  <c r="AM17" i="2" s="1"/>
  <c r="AN18" i="2"/>
  <c r="AM18" i="2" s="1"/>
  <c r="AN19" i="2"/>
  <c r="AM19" i="2" s="1"/>
  <c r="AN20" i="2"/>
  <c r="AM20" i="2" s="1"/>
  <c r="AN21" i="2"/>
  <c r="AM21" i="2" s="1"/>
  <c r="AN22" i="2"/>
  <c r="AM22" i="2" s="1"/>
  <c r="AN23" i="2"/>
  <c r="AM23" i="2" s="1"/>
  <c r="AN24" i="2"/>
  <c r="AM24" i="2" s="1"/>
  <c r="AN25" i="2"/>
  <c r="AM25" i="2" s="1"/>
  <c r="AN26" i="2"/>
  <c r="AM26" i="2" s="1"/>
  <c r="AN27" i="2"/>
  <c r="AM27" i="2" s="1"/>
  <c r="AN28" i="2"/>
  <c r="AM28" i="2" s="1"/>
  <c r="AN29" i="2"/>
  <c r="AM29" i="2" s="1"/>
  <c r="AN30" i="2"/>
  <c r="AM30" i="2" s="1"/>
  <c r="AN31" i="2"/>
  <c r="AM31" i="2" s="1"/>
  <c r="AN32" i="2"/>
  <c r="AM32" i="2" s="1"/>
  <c r="AN33" i="2"/>
  <c r="AM33" i="2" s="1"/>
  <c r="AN34" i="2"/>
  <c r="AM34" i="2" s="1"/>
  <c r="AN35" i="2"/>
  <c r="AM35" i="2" s="1"/>
  <c r="AN36" i="2"/>
  <c r="AM36" i="2" s="1"/>
  <c r="AN37" i="2"/>
  <c r="AM37" i="2" s="1"/>
  <c r="AN38" i="2"/>
  <c r="AM38" i="2" s="1"/>
  <c r="AN39" i="2"/>
  <c r="AM39" i="2" s="1"/>
  <c r="AN40" i="2"/>
  <c r="AM40" i="2" s="1"/>
  <c r="AN41" i="2"/>
  <c r="AM41" i="2" s="1"/>
  <c r="AN42" i="2"/>
  <c r="AM42" i="2" s="1"/>
  <c r="AN43" i="2"/>
  <c r="AM43" i="2" s="1"/>
  <c r="AN44" i="2"/>
  <c r="AM44" i="2" s="1"/>
  <c r="AN45" i="2"/>
  <c r="AM45" i="2" s="1"/>
  <c r="AN46" i="2"/>
  <c r="AM46" i="2" s="1"/>
  <c r="AN47" i="2"/>
  <c r="AM47" i="2" s="1"/>
  <c r="AN48" i="2"/>
  <c r="AM48" i="2" s="1"/>
  <c r="AN49" i="2"/>
  <c r="AM49" i="2" s="1"/>
  <c r="AN50" i="2"/>
  <c r="AM50" i="2" s="1"/>
  <c r="AN51" i="2"/>
  <c r="AM51" i="2" s="1"/>
  <c r="AN52" i="2"/>
  <c r="AM52" i="2" s="1"/>
  <c r="AN53" i="2"/>
  <c r="AM53" i="2" s="1"/>
  <c r="AN54" i="2"/>
  <c r="AM54" i="2" s="1"/>
  <c r="AN55" i="2"/>
  <c r="AM55" i="2" s="1"/>
  <c r="AN56" i="2"/>
  <c r="AM56" i="2" s="1"/>
  <c r="AN57" i="2"/>
  <c r="AM57" i="2" s="1"/>
  <c r="AN58" i="2"/>
  <c r="AM58" i="2" s="1"/>
  <c r="AN59" i="2"/>
  <c r="AM59" i="2" s="1"/>
  <c r="AN60" i="2"/>
  <c r="AM60" i="2" s="1"/>
  <c r="AN61" i="2"/>
  <c r="AM61" i="2" s="1"/>
  <c r="AN62" i="2"/>
  <c r="AM62" i="2" s="1"/>
  <c r="AN63" i="2"/>
  <c r="AM63" i="2" s="1"/>
  <c r="AN64" i="2"/>
  <c r="AM64" i="2" s="1"/>
  <c r="AN65" i="2"/>
  <c r="AM65" i="2" s="1"/>
  <c r="AN66" i="2"/>
  <c r="AM66" i="2" s="1"/>
  <c r="AN67" i="2"/>
  <c r="AM67" i="2" s="1"/>
  <c r="AN68" i="2"/>
  <c r="AM68" i="2" s="1"/>
  <c r="AN69" i="2"/>
  <c r="AM69" i="2" s="1"/>
  <c r="AN70" i="2"/>
  <c r="AM70" i="2" s="1"/>
  <c r="AN71" i="2"/>
  <c r="AM71" i="2" s="1"/>
  <c r="AN72" i="2"/>
  <c r="AM72" i="2" s="1"/>
  <c r="AN73" i="2"/>
  <c r="AM73" i="2" s="1"/>
  <c r="AN74" i="2"/>
  <c r="AM74" i="2" s="1"/>
  <c r="AN75" i="2"/>
  <c r="AM75" i="2" s="1"/>
  <c r="AN76" i="2"/>
  <c r="AM76" i="2" s="1"/>
  <c r="AN77" i="2"/>
  <c r="AM77" i="2" s="1"/>
  <c r="AN78" i="2"/>
  <c r="AM78" i="2" s="1"/>
  <c r="AN79" i="2"/>
  <c r="AM79" i="2" s="1"/>
  <c r="AN80" i="2"/>
  <c r="AM80" i="2" s="1"/>
  <c r="AN81" i="2"/>
  <c r="AM81" i="2" s="1"/>
  <c r="AN82" i="2"/>
  <c r="AM82" i="2" s="1"/>
  <c r="AN83" i="2"/>
  <c r="AM83" i="2" s="1"/>
  <c r="AN84" i="2"/>
  <c r="AM84" i="2" s="1"/>
  <c r="AN85" i="2"/>
  <c r="AM85" i="2" s="1"/>
  <c r="AN86" i="2"/>
  <c r="AM86" i="2" s="1"/>
  <c r="AN87" i="2"/>
  <c r="AM87" i="2" s="1"/>
  <c r="AN88" i="2"/>
  <c r="AM88" i="2" s="1"/>
  <c r="AN89" i="2"/>
  <c r="AM89" i="2" s="1"/>
  <c r="AN90" i="2"/>
  <c r="AM90" i="2" s="1"/>
  <c r="AN91" i="2"/>
  <c r="AM91" i="2" s="1"/>
  <c r="AN92" i="2"/>
  <c r="AM92" i="2" s="1"/>
  <c r="AN93" i="2"/>
  <c r="AM93" i="2" s="1"/>
  <c r="AN94" i="2"/>
  <c r="AM94" i="2" s="1"/>
  <c r="AN95" i="2"/>
  <c r="AM95" i="2" s="1"/>
  <c r="AN96" i="2"/>
  <c r="AM96" i="2" s="1"/>
  <c r="AN97" i="2"/>
  <c r="AM97" i="2" s="1"/>
  <c r="AN98" i="2"/>
  <c r="AM98" i="2" s="1"/>
  <c r="AN99" i="2"/>
  <c r="AM99" i="2" s="1"/>
  <c r="AN100" i="2"/>
  <c r="AM100" i="2" s="1"/>
  <c r="AN101" i="2"/>
  <c r="AM101" i="2" s="1"/>
  <c r="AN102" i="2"/>
  <c r="AM102" i="2" s="1"/>
  <c r="AN103" i="2"/>
  <c r="AM103" i="2" s="1"/>
  <c r="AN4" i="2"/>
  <c r="AM4" i="2" s="1"/>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D5" i="2"/>
  <c r="AC5" i="2" s="1"/>
  <c r="AD6" i="2"/>
  <c r="AC6" i="2" s="1"/>
  <c r="AD7" i="2"/>
  <c r="AC7" i="2" s="1"/>
  <c r="AD8" i="2"/>
  <c r="AC8" i="2" s="1"/>
  <c r="AD9" i="2"/>
  <c r="AC9" i="2" s="1"/>
  <c r="AD10" i="2"/>
  <c r="AC10" i="2" s="1"/>
  <c r="AD11" i="2"/>
  <c r="AC11" i="2" s="1"/>
  <c r="AD12" i="2"/>
  <c r="AC12" i="2" s="1"/>
  <c r="AD13" i="2"/>
  <c r="AC13" i="2" s="1"/>
  <c r="AD14" i="2"/>
  <c r="AC14" i="2" s="1"/>
  <c r="AD15" i="2"/>
  <c r="AC15" i="2" s="1"/>
  <c r="AD16" i="2"/>
  <c r="AC16" i="2" s="1"/>
  <c r="AD17" i="2"/>
  <c r="AC17" i="2" s="1"/>
  <c r="AD18" i="2"/>
  <c r="AC18" i="2" s="1"/>
  <c r="AD19" i="2"/>
  <c r="AC19" i="2" s="1"/>
  <c r="AD20" i="2"/>
  <c r="AC20" i="2" s="1"/>
  <c r="AD21" i="2"/>
  <c r="AC21" i="2" s="1"/>
  <c r="AD22" i="2"/>
  <c r="AC22" i="2" s="1"/>
  <c r="AD23" i="2"/>
  <c r="AC23" i="2" s="1"/>
  <c r="AD24" i="2"/>
  <c r="AC24" i="2" s="1"/>
  <c r="AD25" i="2"/>
  <c r="AC25" i="2" s="1"/>
  <c r="AD26" i="2"/>
  <c r="AC26" i="2" s="1"/>
  <c r="AD27" i="2"/>
  <c r="AC27" i="2" s="1"/>
  <c r="AD28" i="2"/>
  <c r="AC28" i="2" s="1"/>
  <c r="AD29" i="2"/>
  <c r="AC29" i="2" s="1"/>
  <c r="AD30" i="2"/>
  <c r="AC30" i="2" s="1"/>
  <c r="AD31" i="2"/>
  <c r="AC31" i="2" s="1"/>
  <c r="AD32" i="2"/>
  <c r="AC32" i="2" s="1"/>
  <c r="AD33" i="2"/>
  <c r="AC33" i="2" s="1"/>
  <c r="AD34" i="2"/>
  <c r="AC34" i="2" s="1"/>
  <c r="AD35" i="2"/>
  <c r="AC35" i="2" s="1"/>
  <c r="AD36" i="2"/>
  <c r="AC36" i="2" s="1"/>
  <c r="AD37" i="2"/>
  <c r="AC37" i="2" s="1"/>
  <c r="AD38" i="2"/>
  <c r="AC38" i="2" s="1"/>
  <c r="AD39" i="2"/>
  <c r="AC39" i="2" s="1"/>
  <c r="AD40" i="2"/>
  <c r="AC40" i="2" s="1"/>
  <c r="AD41" i="2"/>
  <c r="AC41" i="2" s="1"/>
  <c r="AD42" i="2"/>
  <c r="AC42" i="2" s="1"/>
  <c r="AD43" i="2"/>
  <c r="AC43" i="2" s="1"/>
  <c r="AD44" i="2"/>
  <c r="AC44" i="2" s="1"/>
  <c r="AD45" i="2"/>
  <c r="AC45" i="2" s="1"/>
  <c r="AD46" i="2"/>
  <c r="AC46" i="2" s="1"/>
  <c r="AD47" i="2"/>
  <c r="AC47" i="2" s="1"/>
  <c r="AD48" i="2"/>
  <c r="AC48" i="2" s="1"/>
  <c r="AD49" i="2"/>
  <c r="AC49" i="2" s="1"/>
  <c r="AD50" i="2"/>
  <c r="AC50" i="2" s="1"/>
  <c r="AD51" i="2"/>
  <c r="AC51" i="2" s="1"/>
  <c r="AD52" i="2"/>
  <c r="AC52" i="2" s="1"/>
  <c r="AD53" i="2"/>
  <c r="AC53" i="2" s="1"/>
  <c r="AD54" i="2"/>
  <c r="AC54" i="2" s="1"/>
  <c r="AD55" i="2"/>
  <c r="AC55" i="2" s="1"/>
  <c r="AD56" i="2"/>
  <c r="AC56" i="2" s="1"/>
  <c r="AD57" i="2"/>
  <c r="AC57" i="2" s="1"/>
  <c r="AD58" i="2"/>
  <c r="AC58" i="2" s="1"/>
  <c r="AD59" i="2"/>
  <c r="AC59" i="2" s="1"/>
  <c r="AD60" i="2"/>
  <c r="AC60" i="2" s="1"/>
  <c r="AD61" i="2"/>
  <c r="AC61" i="2" s="1"/>
  <c r="AD62" i="2"/>
  <c r="AC62" i="2" s="1"/>
  <c r="AD63" i="2"/>
  <c r="AC63" i="2" s="1"/>
  <c r="AD64" i="2"/>
  <c r="AC64" i="2" s="1"/>
  <c r="AD65" i="2"/>
  <c r="AC65" i="2" s="1"/>
  <c r="AD66" i="2"/>
  <c r="AC66" i="2" s="1"/>
  <c r="AD67" i="2"/>
  <c r="AC67" i="2" s="1"/>
  <c r="AD68" i="2"/>
  <c r="AC68" i="2" s="1"/>
  <c r="AD69" i="2"/>
  <c r="AC69" i="2" s="1"/>
  <c r="AD70" i="2"/>
  <c r="AC70" i="2" s="1"/>
  <c r="AD71" i="2"/>
  <c r="AC71" i="2" s="1"/>
  <c r="AD72" i="2"/>
  <c r="AC72" i="2" s="1"/>
  <c r="AD73" i="2"/>
  <c r="AC73" i="2" s="1"/>
  <c r="AD74" i="2"/>
  <c r="AC74" i="2" s="1"/>
  <c r="AD75" i="2"/>
  <c r="AC75" i="2" s="1"/>
  <c r="AD76" i="2"/>
  <c r="AC76" i="2" s="1"/>
  <c r="AD77" i="2"/>
  <c r="AC77" i="2" s="1"/>
  <c r="AD78" i="2"/>
  <c r="AC78" i="2" s="1"/>
  <c r="AD79" i="2"/>
  <c r="AC79" i="2" s="1"/>
  <c r="AD80" i="2"/>
  <c r="AC80" i="2" s="1"/>
  <c r="AD81" i="2"/>
  <c r="AC81" i="2" s="1"/>
  <c r="AD82" i="2"/>
  <c r="AC82" i="2" s="1"/>
  <c r="AD83" i="2"/>
  <c r="AC83" i="2" s="1"/>
  <c r="AD84" i="2"/>
  <c r="AC84" i="2" s="1"/>
  <c r="AD85" i="2"/>
  <c r="AC85" i="2" s="1"/>
  <c r="AD86" i="2"/>
  <c r="AC86" i="2" s="1"/>
  <c r="AD87" i="2"/>
  <c r="AC87" i="2" s="1"/>
  <c r="AD88" i="2"/>
  <c r="AC88" i="2" s="1"/>
  <c r="AD89" i="2"/>
  <c r="AC89" i="2" s="1"/>
  <c r="AD90" i="2"/>
  <c r="AC90" i="2" s="1"/>
  <c r="AD91" i="2"/>
  <c r="AC91" i="2" s="1"/>
  <c r="AD92" i="2"/>
  <c r="AC92" i="2" s="1"/>
  <c r="AD93" i="2"/>
  <c r="AC93" i="2" s="1"/>
  <c r="AD94" i="2"/>
  <c r="AC94" i="2" s="1"/>
  <c r="AD95" i="2"/>
  <c r="AC95" i="2" s="1"/>
  <c r="AD96" i="2"/>
  <c r="AC96" i="2" s="1"/>
  <c r="AD97" i="2"/>
  <c r="AC97" i="2" s="1"/>
  <c r="AD98" i="2"/>
  <c r="AC98" i="2" s="1"/>
  <c r="AD99" i="2"/>
  <c r="AC99" i="2" s="1"/>
  <c r="AD100" i="2"/>
  <c r="AC100" i="2" s="1"/>
  <c r="AD101" i="2"/>
  <c r="AC101" i="2" s="1"/>
  <c r="AD102" i="2"/>
  <c r="AC102" i="2" s="1"/>
  <c r="AD103" i="2"/>
  <c r="AC103" i="2" s="1"/>
  <c r="AD4" i="2"/>
  <c r="AC4" i="2" s="1"/>
  <c r="AA4" i="2"/>
  <c r="AB4" i="2" l="1"/>
  <c r="AB100" i="2"/>
  <c r="AB96" i="2"/>
  <c r="AB92" i="2"/>
  <c r="AB88" i="2"/>
  <c r="AB84" i="2"/>
  <c r="AB80" i="2"/>
  <c r="AB76" i="2"/>
  <c r="AB72" i="2"/>
  <c r="AB68" i="2"/>
  <c r="AB64" i="2"/>
  <c r="AB60" i="2"/>
  <c r="AB56" i="2"/>
  <c r="AB52" i="2"/>
  <c r="AB48" i="2"/>
  <c r="AB44" i="2"/>
  <c r="AB40" i="2"/>
  <c r="AB36" i="2"/>
  <c r="AB32" i="2"/>
  <c r="AB28" i="2"/>
  <c r="AB24" i="2"/>
  <c r="AB20" i="2"/>
  <c r="AB16" i="2"/>
  <c r="AB12" i="2"/>
  <c r="AB8" i="2"/>
  <c r="AB103" i="2"/>
  <c r="AB99" i="2"/>
  <c r="AB95" i="2"/>
  <c r="AB91" i="2"/>
  <c r="AB87" i="2"/>
  <c r="AB83" i="2"/>
  <c r="AB79" i="2"/>
  <c r="AB75" i="2"/>
  <c r="AB71" i="2"/>
  <c r="AB67" i="2"/>
  <c r="AB63" i="2"/>
  <c r="AB59" i="2"/>
  <c r="AB55" i="2"/>
  <c r="AB51" i="2"/>
  <c r="AB47" i="2"/>
  <c r="AB43" i="2"/>
  <c r="AB39" i="2"/>
  <c r="AB35" i="2"/>
  <c r="AB31" i="2"/>
  <c r="AB27" i="2"/>
  <c r="AB23" i="2"/>
  <c r="AB19" i="2"/>
  <c r="AB15" i="2"/>
  <c r="AB11" i="2"/>
  <c r="AB7" i="2"/>
  <c r="AB102" i="2"/>
  <c r="AB98" i="2"/>
  <c r="AB94" i="2"/>
  <c r="AB90" i="2"/>
  <c r="AB86" i="2"/>
  <c r="AB82" i="2"/>
  <c r="AB78" i="2"/>
  <c r="AB74" i="2"/>
  <c r="AB70" i="2"/>
  <c r="AB66" i="2"/>
  <c r="AB62" i="2"/>
  <c r="AB58" i="2"/>
  <c r="AB54" i="2"/>
  <c r="AB50" i="2"/>
  <c r="AB46" i="2"/>
  <c r="AB42" i="2"/>
  <c r="AB38" i="2"/>
  <c r="AB34" i="2"/>
  <c r="AB30" i="2"/>
  <c r="AB26" i="2"/>
  <c r="AB22" i="2"/>
  <c r="AB18" i="2"/>
  <c r="AB14" i="2"/>
  <c r="AB10" i="2"/>
  <c r="AB6" i="2"/>
  <c r="AB101" i="2"/>
  <c r="AB97" i="2"/>
  <c r="AB93" i="2"/>
  <c r="AB89" i="2"/>
  <c r="AB85" i="2"/>
  <c r="AB81" i="2"/>
  <c r="AB77" i="2"/>
  <c r="AB73" i="2"/>
  <c r="AB69" i="2"/>
  <c r="AB65" i="2"/>
  <c r="AB61" i="2"/>
  <c r="AB57" i="2"/>
  <c r="AB53" i="2"/>
  <c r="AB49" i="2"/>
  <c r="AB45" i="2"/>
  <c r="AB41" i="2"/>
  <c r="AB37" i="2"/>
  <c r="AB33" i="2"/>
  <c r="AB29" i="2"/>
  <c r="AB25" i="2"/>
  <c r="AB21" i="2"/>
  <c r="AB17" i="2"/>
  <c r="AB13" i="2"/>
  <c r="AB9" i="2"/>
  <c r="AB5" i="2"/>
  <c r="A11" i="1"/>
  <c r="A10" i="1" l="1"/>
  <c r="Q13" i="1" l="1"/>
  <c r="P13" i="1"/>
  <c r="O13" i="1"/>
  <c r="N13" i="1"/>
  <c r="K13" i="1"/>
  <c r="J13" i="1"/>
  <c r="I13" i="1"/>
  <c r="H13" i="1"/>
  <c r="Q31" i="1"/>
  <c r="P31" i="1"/>
  <c r="O31" i="1"/>
  <c r="N31" i="1"/>
  <c r="Q30" i="1"/>
  <c r="P30" i="1"/>
  <c r="O30" i="1"/>
  <c r="N30" i="1"/>
  <c r="O26" i="1"/>
  <c r="P26" i="1"/>
  <c r="Q26" i="1"/>
  <c r="O27" i="1"/>
  <c r="P27" i="1"/>
  <c r="Q27" i="1"/>
  <c r="O28" i="1"/>
  <c r="P28" i="1"/>
  <c r="Q28" i="1"/>
  <c r="O29" i="1"/>
  <c r="P29" i="1"/>
  <c r="Q29" i="1"/>
  <c r="N27" i="1"/>
  <c r="N28" i="1"/>
  <c r="N29" i="1"/>
  <c r="N26" i="1"/>
  <c r="Q25" i="1"/>
  <c r="P25" i="1"/>
  <c r="O25" i="1"/>
  <c r="N25" i="1"/>
  <c r="O22" i="1"/>
  <c r="P22" i="1"/>
  <c r="Q22" i="1"/>
  <c r="O23" i="1"/>
  <c r="P23" i="1"/>
  <c r="Q23" i="1"/>
  <c r="O24" i="1"/>
  <c r="P24" i="1"/>
  <c r="Q24" i="1"/>
  <c r="N23" i="1"/>
  <c r="N24" i="1"/>
  <c r="N22" i="1"/>
  <c r="Q21" i="1"/>
  <c r="P21" i="1"/>
  <c r="O21" i="1"/>
  <c r="N21" i="1"/>
  <c r="N16" i="1"/>
  <c r="N17" i="1"/>
  <c r="N18" i="1"/>
  <c r="N19" i="1"/>
  <c r="N20" i="1"/>
  <c r="O15" i="1"/>
  <c r="P15" i="1"/>
  <c r="O16" i="1"/>
  <c r="P16" i="1"/>
  <c r="O17" i="1"/>
  <c r="P17" i="1"/>
  <c r="O18" i="1"/>
  <c r="P18" i="1"/>
  <c r="O19" i="1"/>
  <c r="P19" i="1"/>
  <c r="O20" i="1"/>
  <c r="P20" i="1"/>
  <c r="Q16" i="1"/>
  <c r="Q17" i="1"/>
  <c r="Q18" i="1"/>
  <c r="Q19" i="1"/>
  <c r="Q20" i="1"/>
  <c r="Q15" i="1"/>
  <c r="N15" i="1"/>
  <c r="Q14" i="1"/>
  <c r="P14" i="1"/>
  <c r="O14" i="1"/>
  <c r="N14" i="1"/>
  <c r="K48" i="1"/>
  <c r="J48" i="1"/>
  <c r="I48" i="1"/>
  <c r="H48" i="1"/>
  <c r="K47" i="1"/>
  <c r="J47" i="1"/>
  <c r="I47" i="1"/>
  <c r="H47" i="1"/>
  <c r="H40" i="1"/>
  <c r="I40" i="1"/>
  <c r="J40" i="1"/>
  <c r="K40" i="1"/>
  <c r="H41" i="1"/>
  <c r="I41" i="1"/>
  <c r="J41" i="1"/>
  <c r="K41" i="1"/>
  <c r="H42" i="1"/>
  <c r="I42" i="1"/>
  <c r="J42" i="1"/>
  <c r="K42" i="1"/>
  <c r="H43" i="1"/>
  <c r="I43" i="1"/>
  <c r="J43" i="1"/>
  <c r="K43" i="1"/>
  <c r="H44" i="1"/>
  <c r="I44" i="1"/>
  <c r="J44" i="1"/>
  <c r="K44" i="1"/>
  <c r="H45" i="1"/>
  <c r="I45" i="1"/>
  <c r="J45" i="1"/>
  <c r="K45" i="1"/>
  <c r="H46" i="1"/>
  <c r="I46" i="1"/>
  <c r="J46" i="1"/>
  <c r="K46" i="1"/>
  <c r="K39" i="1"/>
  <c r="J39" i="1"/>
  <c r="I39" i="1"/>
  <c r="H39" i="1"/>
  <c r="K38" i="1"/>
  <c r="J38" i="1"/>
  <c r="I38" i="1"/>
  <c r="H38" i="1"/>
  <c r="I33" i="1"/>
  <c r="J33" i="1"/>
  <c r="K33" i="1"/>
  <c r="I34" i="1"/>
  <c r="J34" i="1"/>
  <c r="K34" i="1"/>
  <c r="I35" i="1"/>
  <c r="J35" i="1"/>
  <c r="K35" i="1"/>
  <c r="I36" i="1"/>
  <c r="J36" i="1"/>
  <c r="K36" i="1"/>
  <c r="I37" i="1"/>
  <c r="J37" i="1"/>
  <c r="K37" i="1"/>
  <c r="H34" i="1"/>
  <c r="H35" i="1"/>
  <c r="H36" i="1"/>
  <c r="H37" i="1"/>
  <c r="H33" i="1"/>
  <c r="K32" i="1"/>
  <c r="J32" i="1"/>
  <c r="I32" i="1"/>
  <c r="H32" i="1"/>
  <c r="H30" i="1"/>
  <c r="I30" i="1"/>
  <c r="J30" i="1"/>
  <c r="K30" i="1"/>
  <c r="H31" i="1"/>
  <c r="I31" i="1"/>
  <c r="J31" i="1"/>
  <c r="K31" i="1"/>
  <c r="I29" i="1"/>
  <c r="J29" i="1"/>
  <c r="K29" i="1"/>
  <c r="H29" i="1"/>
  <c r="K27" i="1"/>
  <c r="J27" i="1"/>
  <c r="I27" i="1"/>
  <c r="H27" i="1"/>
  <c r="I20" i="1"/>
  <c r="J20" i="1"/>
  <c r="K20" i="1"/>
  <c r="I21" i="1"/>
  <c r="J21" i="1"/>
  <c r="K21" i="1"/>
  <c r="I22" i="1"/>
  <c r="J22" i="1"/>
  <c r="K22" i="1"/>
  <c r="I23" i="1"/>
  <c r="J23" i="1"/>
  <c r="K23" i="1"/>
  <c r="I24" i="1"/>
  <c r="J24" i="1"/>
  <c r="K24" i="1"/>
  <c r="I25" i="1"/>
  <c r="J25" i="1"/>
  <c r="K25" i="1"/>
  <c r="I26" i="1"/>
  <c r="J26" i="1"/>
  <c r="K26" i="1"/>
  <c r="H21" i="1"/>
  <c r="H22" i="1"/>
  <c r="H23" i="1"/>
  <c r="H24" i="1"/>
  <c r="H25" i="1"/>
  <c r="H26" i="1"/>
  <c r="H20" i="1"/>
  <c r="K19" i="1"/>
  <c r="J19" i="1"/>
  <c r="I19" i="1"/>
  <c r="H19" i="1"/>
  <c r="H16" i="1"/>
  <c r="I16" i="1"/>
  <c r="H17" i="1"/>
  <c r="I17" i="1"/>
  <c r="H18" i="1"/>
  <c r="I18" i="1"/>
  <c r="H15" i="1"/>
  <c r="I15" i="1"/>
  <c r="J15" i="1"/>
  <c r="K15" i="1"/>
  <c r="J16" i="1"/>
  <c r="K16" i="1"/>
  <c r="J17" i="1"/>
  <c r="K17" i="1"/>
  <c r="J18" i="1"/>
  <c r="K18" i="1"/>
  <c r="J14" i="1"/>
  <c r="K14" i="1"/>
  <c r="I14" i="1"/>
  <c r="H14" i="1"/>
  <c r="E29" i="1"/>
  <c r="D29" i="1"/>
  <c r="C29" i="1"/>
  <c r="B29" i="1"/>
  <c r="C23" i="1"/>
  <c r="D23" i="1"/>
  <c r="E23" i="1"/>
  <c r="C24" i="1"/>
  <c r="D24" i="1"/>
  <c r="E24" i="1"/>
  <c r="C25" i="1"/>
  <c r="D25" i="1"/>
  <c r="E25" i="1"/>
  <c r="C26" i="1"/>
  <c r="D26" i="1"/>
  <c r="E26" i="1"/>
  <c r="C27" i="1"/>
  <c r="D27" i="1"/>
  <c r="E27" i="1"/>
  <c r="C28" i="1"/>
  <c r="D28" i="1"/>
  <c r="E28" i="1"/>
  <c r="B24" i="1"/>
  <c r="B25" i="1"/>
  <c r="B26" i="1"/>
  <c r="B27" i="1"/>
  <c r="B28" i="1"/>
  <c r="B23" i="1"/>
  <c r="E22" i="1"/>
  <c r="D22" i="1"/>
  <c r="C22" i="1"/>
  <c r="B22" i="1"/>
  <c r="E21" i="1"/>
  <c r="D21" i="1"/>
  <c r="C21" i="1"/>
  <c r="B21" i="1"/>
  <c r="E20" i="1"/>
  <c r="D20" i="1"/>
  <c r="C20" i="1"/>
  <c r="B20" i="1"/>
  <c r="E19" i="1"/>
  <c r="D19" i="1"/>
  <c r="C19" i="1"/>
  <c r="B19" i="1"/>
  <c r="E18" i="1"/>
  <c r="D18" i="1"/>
  <c r="C18" i="1"/>
  <c r="B18" i="1"/>
  <c r="E17" i="1"/>
  <c r="D17" i="1"/>
  <c r="C17" i="1"/>
  <c r="B17" i="1"/>
  <c r="E16" i="1"/>
  <c r="D16" i="1"/>
  <c r="C16" i="1"/>
  <c r="B16" i="1"/>
  <c r="D15" i="1"/>
  <c r="E15" i="1"/>
  <c r="B15" i="1"/>
  <c r="C15" i="1"/>
  <c r="D14" i="1"/>
  <c r="E14" i="1"/>
  <c r="B14" i="1"/>
  <c r="C14" i="1"/>
  <c r="Q32" i="1" l="1"/>
  <c r="P32" i="1"/>
  <c r="O32" i="1"/>
  <c r="N3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E1C4E9F-B99B-484E-AC01-79C1B80B9053}" keepAlive="1" name="Query - Table 2" description="Connection to the 'Table 2' query in the workbook." type="5" refreshedVersion="6" background="1" saveData="1">
    <dbPr connection="Provider=Microsoft.Mashup.OleDb.1;Data Source=$Workbook$;Location=Table 2;Extended Properties=&quot;&quot;" command="SELECT * FROM [Table 2]"/>
  </connection>
  <connection id="2" xr16:uid="{3D7C9D56-1FE0-46F3-B491-7F28EEFC54FE}" keepAlive="1" name="Query - Table 2 (2)" description="Connection to the 'Table 2 (2)' query in the workbook." type="5" refreshedVersion="6" background="1" saveData="1">
    <dbPr connection="Provider=Microsoft.Mashup.OleDb.1;Data Source=$Workbook$;Location=Table 2 (2);Extended Properties=&quot;&quot;" command="SELECT * FROM [Table 2 (2)]"/>
  </connection>
</connections>
</file>

<file path=xl/sharedStrings.xml><?xml version="1.0" encoding="utf-8"?>
<sst xmlns="http://schemas.openxmlformats.org/spreadsheetml/2006/main" count="3211" uniqueCount="1992">
  <si>
    <t>SharePrice</t>
  </si>
  <si>
    <t>BetaValue</t>
  </si>
  <si>
    <t>MarketValue</t>
  </si>
  <si>
    <t>PE Ratio</t>
  </si>
  <si>
    <t>EPS</t>
  </si>
  <si>
    <t>52 weeks range</t>
  </si>
  <si>
    <t>Currency</t>
  </si>
  <si>
    <t>Gross profit</t>
  </si>
  <si>
    <t>Cost Of Revenue</t>
  </si>
  <si>
    <t>Total Revenue</t>
  </si>
  <si>
    <t>Research Development</t>
  </si>
  <si>
    <t>Selling general and administrative</t>
  </si>
  <si>
    <t>-</t>
  </si>
  <si>
    <t>Non recurring</t>
  </si>
  <si>
    <t>Others</t>
  </si>
  <si>
    <t>Total operating expenses</t>
  </si>
  <si>
    <t>Total other income/expenses net</t>
  </si>
  <si>
    <t>EBIT</t>
  </si>
  <si>
    <t>Interest expense</t>
  </si>
  <si>
    <t>Income before tax</t>
  </si>
  <si>
    <t>Income tax expense</t>
  </si>
  <si>
    <t>Operating income or loss</t>
  </si>
  <si>
    <t>Net income</t>
  </si>
  <si>
    <t>INCOME STATEMENT</t>
  </si>
  <si>
    <t>BALANCE SHEET</t>
  </si>
  <si>
    <t>Cash and cash equivalents</t>
  </si>
  <si>
    <t>Short term investments</t>
  </si>
  <si>
    <t>Net receivables</t>
  </si>
  <si>
    <t>Inventory</t>
  </si>
  <si>
    <t>Other current assets</t>
  </si>
  <si>
    <t>Long term investments</t>
  </si>
  <si>
    <t>Property plant and equipment</t>
  </si>
  <si>
    <t>Goodwill</t>
  </si>
  <si>
    <t>Intangible assets</t>
  </si>
  <si>
    <t>Accumulated amortization</t>
  </si>
  <si>
    <t>Other assets</t>
  </si>
  <si>
    <t>Deferred long term asset changes</t>
  </si>
  <si>
    <t>Accounts payable</t>
  </si>
  <si>
    <t>Short/current long term debt</t>
  </si>
  <si>
    <t>Other current liabilites</t>
  </si>
  <si>
    <t>Long term debt</t>
  </si>
  <si>
    <t>Other liabilities</t>
  </si>
  <si>
    <t>Deferred Long Term Liability Charges</t>
  </si>
  <si>
    <t>Minority Interest</t>
  </si>
  <si>
    <t>Negative Goodwill</t>
  </si>
  <si>
    <t>Misc. Stocks Options Warrants</t>
  </si>
  <si>
    <t>Redeemable Preferred Stock</t>
  </si>
  <si>
    <t>Preferred Stock</t>
  </si>
  <si>
    <t>Common Stock</t>
  </si>
  <si>
    <t>Retained earnings</t>
  </si>
  <si>
    <t>Treasury Stock</t>
  </si>
  <si>
    <t>Capital surplus</t>
  </si>
  <si>
    <t>Other stockholder equity</t>
  </si>
  <si>
    <t>Total stockholder equity</t>
  </si>
  <si>
    <t>CASH FLOW</t>
  </si>
  <si>
    <t>Depriciation</t>
  </si>
  <si>
    <t>Adjustments to net income</t>
  </si>
  <si>
    <t>Changes in accounts receivables</t>
  </si>
  <si>
    <t>Changes in liabilities</t>
  </si>
  <si>
    <t>Changes in inventories</t>
  </si>
  <si>
    <t>Changes in other operating activities</t>
  </si>
  <si>
    <t>Capital expenditures</t>
  </si>
  <si>
    <t>Investments</t>
  </si>
  <si>
    <t>Other cash flows from investing activities</t>
  </si>
  <si>
    <t>Dividends paid</t>
  </si>
  <si>
    <t>Sale purchase of stock</t>
  </si>
  <si>
    <t>Net borrowings</t>
  </si>
  <si>
    <t>Other cash flows from financing activities</t>
  </si>
  <si>
    <t>Effect of exchange rate changes</t>
  </si>
  <si>
    <t>Total Cash Flow From Operating Activities</t>
  </si>
  <si>
    <t>Total Cash Flows From Investing Activities</t>
  </si>
  <si>
    <t>Total Cash Flows From Financing Activities</t>
  </si>
  <si>
    <t>Change In Cash and Cash Equivalents</t>
  </si>
  <si>
    <t>Total current assets</t>
  </si>
  <si>
    <t>Total assets</t>
  </si>
  <si>
    <t>Total current liabilities</t>
  </si>
  <si>
    <t>Total liabilities</t>
  </si>
  <si>
    <t>Net tanglible assets</t>
  </si>
  <si>
    <t>Minority interest</t>
  </si>
  <si>
    <t>Net income from continuing ops</t>
  </si>
  <si>
    <t>.</t>
  </si>
  <si>
    <t>2,351.10</t>
  </si>
  <si>
    <t>2,416.62</t>
  </si>
  <si>
    <t>2,447.89</t>
  </si>
  <si>
    <t>2,467.42</t>
  </si>
  <si>
    <t>2,467.70</t>
  </si>
  <si>
    <t>2,485.74</t>
  </si>
  <si>
    <t>2,488.83</t>
  </si>
  <si>
    <t>2,506.85</t>
  </si>
  <si>
    <t>2,506.96</t>
  </si>
  <si>
    <t>2,510.03</t>
  </si>
  <si>
    <t>2,531.94</t>
  </si>
  <si>
    <t>2,545.94</t>
  </si>
  <si>
    <t>2,546.16</t>
  </si>
  <si>
    <t>2,549.69</t>
  </si>
  <si>
    <t>2,574.41</t>
  </si>
  <si>
    <t>2,582.61</t>
  </si>
  <si>
    <t>2,584.96</t>
  </si>
  <si>
    <t>2,596.26</t>
  </si>
  <si>
    <t>2,596.64</t>
  </si>
  <si>
    <t>2,610.30</t>
  </si>
  <si>
    <t>2,616.10</t>
  </si>
  <si>
    <t>2,632.90</t>
  </si>
  <si>
    <t>2,635.96</t>
  </si>
  <si>
    <t>2,638.70</t>
  </si>
  <si>
    <t>2,640.00</t>
  </si>
  <si>
    <t>2,642.33</t>
  </si>
  <si>
    <t>2,643.85</t>
  </si>
  <si>
    <t>2,664.76</t>
  </si>
  <si>
    <t>2,670.71</t>
  </si>
  <si>
    <t>2,681.05</t>
  </si>
  <si>
    <t>2,704.10</t>
  </si>
  <si>
    <t>2,706.05</t>
  </si>
  <si>
    <t>2,706.53</t>
  </si>
  <si>
    <t>2,707.88</t>
  </si>
  <si>
    <t>2,709.80</t>
  </si>
  <si>
    <t>2,724.87</t>
  </si>
  <si>
    <t>2,731.61</t>
  </si>
  <si>
    <t>2,737.70</t>
  </si>
  <si>
    <t>2,743.07</t>
  </si>
  <si>
    <t>2,744.73</t>
  </si>
  <si>
    <t>2,745.73</t>
  </si>
  <si>
    <t>2,748.93</t>
  </si>
  <si>
    <t>2,753.03</t>
  </si>
  <si>
    <t>2,771.45</t>
  </si>
  <si>
    <t>2,774.88</t>
  </si>
  <si>
    <t>2,775.60</t>
  </si>
  <si>
    <t>2,779.76</t>
  </si>
  <si>
    <t>2,783.30</t>
  </si>
  <si>
    <t>2,784.49</t>
  </si>
  <si>
    <t>2,784.70</t>
  </si>
  <si>
    <t>2,789.65</t>
  </si>
  <si>
    <t>2,791.52</t>
  </si>
  <si>
    <t>2,792.38</t>
  </si>
  <si>
    <t>2,792.67</t>
  </si>
  <si>
    <t>2,792.81</t>
  </si>
  <si>
    <t>2,793.90</t>
  </si>
  <si>
    <t>2,796.11</t>
  </si>
  <si>
    <t>2,798.36</t>
  </si>
  <si>
    <t>2,800.71</t>
  </si>
  <si>
    <t>2,803.69</t>
  </si>
  <si>
    <t>2,805.37</t>
  </si>
  <si>
    <t>2,808.48</t>
  </si>
  <si>
    <t>2,810.92</t>
  </si>
  <si>
    <t>2,815.44</t>
  </si>
  <si>
    <t>2,818.46</t>
  </si>
  <si>
    <t>2,822.48</t>
  </si>
  <si>
    <t>2,824.23</t>
  </si>
  <si>
    <t>2,832.57</t>
  </si>
  <si>
    <t>2,832.94</t>
  </si>
  <si>
    <t>2,834.40</t>
  </si>
  <si>
    <t>2,854.88</t>
  </si>
  <si>
    <t>2,867.19</t>
  </si>
  <si>
    <t>2,867.24</t>
  </si>
  <si>
    <t>2,870.72</t>
  </si>
  <si>
    <t>2,873.40</t>
  </si>
  <si>
    <t>2,878.20</t>
  </si>
  <si>
    <t>2,879.39</t>
  </si>
  <si>
    <t>2,879.42</t>
  </si>
  <si>
    <t>2,881.40</t>
  </si>
  <si>
    <t>2,884.05</t>
  </si>
  <si>
    <t>2,888.21</t>
  </si>
  <si>
    <t>2,888.32</t>
  </si>
  <si>
    <t>2,892.74</t>
  </si>
  <si>
    <t>2,895.77</t>
  </si>
  <si>
    <t>2,900.45</t>
  </si>
  <si>
    <t>2,905.03</t>
  </si>
  <si>
    <t>2,905.58</t>
  </si>
  <si>
    <t>2,907.06</t>
  </si>
  <si>
    <t>2,907.41</t>
  </si>
  <si>
    <t>2,907.97</t>
  </si>
  <si>
    <t>2,917.52</t>
  </si>
  <si>
    <t>2,923.73</t>
  </si>
  <si>
    <t>2,926.17</t>
  </si>
  <si>
    <t>2,927.25</t>
  </si>
  <si>
    <t>2,932.47</t>
  </si>
  <si>
    <t>2,933.68</t>
  </si>
  <si>
    <t>2,939.88</t>
  </si>
  <si>
    <t>2,943.03</t>
  </si>
  <si>
    <t>2,945.64</t>
  </si>
  <si>
    <t>2,945.83</t>
  </si>
  <si>
    <t>2,493.14</t>
  </si>
  <si>
    <t>2,519.49</t>
  </si>
  <si>
    <t>2,538.07</t>
  </si>
  <si>
    <t>2,566.16</t>
  </si>
  <si>
    <t>2,579.82</t>
  </si>
  <si>
    <t>2,589.32</t>
  </si>
  <si>
    <t>2,595.32</t>
  </si>
  <si>
    <t>2,596.27</t>
  </si>
  <si>
    <t>2,597.82</t>
  </si>
  <si>
    <t>2,613.08</t>
  </si>
  <si>
    <t>2,625.76</t>
  </si>
  <si>
    <t>2,644.97</t>
  </si>
  <si>
    <t>2,645.06</t>
  </si>
  <si>
    <t>2,647.20</t>
  </si>
  <si>
    <t>2,650.93</t>
  </si>
  <si>
    <t>2,653.19</t>
  </si>
  <si>
    <t>2,657.88</t>
  </si>
  <si>
    <t>2,672.38</t>
  </si>
  <si>
    <t>2,675.47</t>
  </si>
  <si>
    <t>2,690.44</t>
  </si>
  <si>
    <t>2,708.95</t>
  </si>
  <si>
    <t>2,708.07</t>
  </si>
  <si>
    <t>2,716.66</t>
  </si>
  <si>
    <t>2,718.05</t>
  </si>
  <si>
    <t>2,719.32</t>
  </si>
  <si>
    <t>2,724.99</t>
  </si>
  <si>
    <t>2,738.08</t>
  </si>
  <si>
    <t>2,738.98</t>
  </si>
  <si>
    <t>2,748.19</t>
  </si>
  <si>
    <t>2,757.90</t>
  </si>
  <si>
    <t>2,761.85</t>
  </si>
  <si>
    <t>2,775.66</t>
  </si>
  <si>
    <t>2,781.58</t>
  </si>
  <si>
    <t>2,787.33</t>
  </si>
  <si>
    <t>2,789.88</t>
  </si>
  <si>
    <t>2,793.73</t>
  </si>
  <si>
    <t>2,794.20</t>
  </si>
  <si>
    <t>2,795.76</t>
  </si>
  <si>
    <t>2,803.12</t>
  </si>
  <si>
    <t>2,813.49</t>
  </si>
  <si>
    <t>2,744.13</t>
  </si>
  <si>
    <t>2,767.25</t>
  </si>
  <si>
    <t>2,784.00</t>
  </si>
  <si>
    <t>2,790.27</t>
  </si>
  <si>
    <t>2,796.44</t>
  </si>
  <si>
    <t>2,798.32</t>
  </si>
  <si>
    <t>2,808.02</t>
  </si>
  <si>
    <t>2,809.79</t>
  </si>
  <si>
    <t>2,815.00</t>
  </si>
  <si>
    <t>2,816.88</t>
  </si>
  <si>
    <t>2,819.71</t>
  </si>
  <si>
    <t>2,821.24</t>
  </si>
  <si>
    <t>2,825.56</t>
  </si>
  <si>
    <t>2,829.87</t>
  </si>
  <si>
    <t>2,830.73</t>
  </si>
  <si>
    <t>2,835.41</t>
  </si>
  <si>
    <t>2,836.03</t>
  </si>
  <si>
    <t>2,843.54</t>
  </si>
  <si>
    <t>2,846.16</t>
  </si>
  <si>
    <t>2,852.42</t>
  </si>
  <si>
    <t>2,860.31</t>
  </si>
  <si>
    <t>2,869.40</t>
  </si>
  <si>
    <t>2,872.90</t>
  </si>
  <si>
    <t>2,881.28</t>
  </si>
  <si>
    <t>2,885.25</t>
  </si>
  <si>
    <t>2,886.88</t>
  </si>
  <si>
    <t>2,889.71</t>
  </si>
  <si>
    <t>2,893.24</t>
  </si>
  <si>
    <t>2,893.42</t>
  </si>
  <si>
    <t>2,895.95</t>
  </si>
  <si>
    <t>2,908.40</t>
  </si>
  <si>
    <t>2,909.51</t>
  </si>
  <si>
    <t>2,909.60</t>
  </si>
  <si>
    <t>2,910.54</t>
  </si>
  <si>
    <t>2,916.06</t>
  </si>
  <si>
    <t>2,918.00</t>
  </si>
  <si>
    <t>2,933.10</t>
  </si>
  <si>
    <t>2,936.31</t>
  </si>
  <si>
    <t>2,936.83</t>
  </si>
  <si>
    <t>2,948.22</t>
  </si>
  <si>
    <t>2,949.52</t>
  </si>
  <si>
    <t>2,875.97</t>
  </si>
  <si>
    <t>2,891.31</t>
  </si>
  <si>
    <t>2,897.96</t>
  </si>
  <si>
    <t>2,913.03</t>
  </si>
  <si>
    <t>2,931.68</t>
  </si>
  <si>
    <t>2,937.32</t>
  </si>
  <si>
    <t>2,947.85</t>
  </si>
  <si>
    <t>2,954.13</t>
  </si>
  <si>
    <t>2,410.34</t>
  </si>
  <si>
    <t>2,467.76</t>
  </si>
  <si>
    <t>2,489.10</t>
  </si>
  <si>
    <t>2,504.41</t>
  </si>
  <si>
    <t>2,509.24</t>
  </si>
  <si>
    <t>2,509.63</t>
  </si>
  <si>
    <t>2,520.27</t>
  </si>
  <si>
    <t>2,573.99</t>
  </si>
  <si>
    <t>2,585.29</t>
  </si>
  <si>
    <t>2,601.13</t>
  </si>
  <si>
    <t>2,443.96</t>
  </si>
  <si>
    <t>2,467.47</t>
  </si>
  <si>
    <t>2,474.33</t>
  </si>
  <si>
    <t>2,524.56</t>
  </si>
  <si>
    <t>2,547.56</t>
  </si>
  <si>
    <t>2,562.02</t>
  </si>
  <si>
    <t>2,568.89</t>
  </si>
  <si>
    <t>2,570.41</t>
  </si>
  <si>
    <t>2,577.40</t>
  </si>
  <si>
    <t>2,585.10</t>
  </si>
  <si>
    <t>2,606.36</t>
  </si>
  <si>
    <t>2,612.68</t>
  </si>
  <si>
    <t>2,612.86</t>
  </si>
  <si>
    <t>2,617.27</t>
  </si>
  <si>
    <t>2,624.06</t>
  </si>
  <si>
    <t>2,627.01</t>
  </si>
  <si>
    <t>2,631.05</t>
  </si>
  <si>
    <t>2,647.58</t>
  </si>
  <si>
    <t>2,648.34</t>
  </si>
  <si>
    <t>2,657.33</t>
  </si>
  <si>
    <t>2,678.65</t>
  </si>
  <si>
    <t>2,681.83</t>
  </si>
  <si>
    <t>2,687.26</t>
  </si>
  <si>
    <t>2,696.88</t>
  </si>
  <si>
    <t>2,698.75</t>
  </si>
  <si>
    <t>2,703.79</t>
  </si>
  <si>
    <t>2,722.61</t>
  </si>
  <si>
    <t>2,724.03</t>
  </si>
  <si>
    <t>2,724.15</t>
  </si>
  <si>
    <t>2,731.23</t>
  </si>
  <si>
    <t>2,748.63</t>
  </si>
  <si>
    <t>2,760.24</t>
  </si>
  <si>
    <t>2,764.55</t>
  </si>
  <si>
    <t>2,767.29</t>
  </si>
  <si>
    <t>2,774.06</t>
  </si>
  <si>
    <t>2,775.13</t>
  </si>
  <si>
    <t>2,779.11</t>
  </si>
  <si>
    <t>2,782.51</t>
  </si>
  <si>
    <t>2,789.47</t>
  </si>
  <si>
    <t>2,794.99</t>
  </si>
  <si>
    <t>2,722.27</t>
  </si>
  <si>
    <t>2,739.09</t>
  </si>
  <si>
    <t>2,747.61</t>
  </si>
  <si>
    <t>2,767.66</t>
  </si>
  <si>
    <t>2,768.69</t>
  </si>
  <si>
    <t>2,782.97</t>
  </si>
  <si>
    <t>2,785.02</t>
  </si>
  <si>
    <t>2,786.73</t>
  </si>
  <si>
    <t>2,787.38</t>
  </si>
  <si>
    <t>2,787.72</t>
  </si>
  <si>
    <t>2,798.77</t>
  </si>
  <si>
    <t>2,799.78</t>
  </si>
  <si>
    <t>2,800.47</t>
  </si>
  <si>
    <t>2,803.46</t>
  </si>
  <si>
    <t>2,803.99</t>
  </si>
  <si>
    <t>2,810.79</t>
  </si>
  <si>
    <t>2,812.43</t>
  </si>
  <si>
    <t>2,817.38</t>
  </si>
  <si>
    <t>2,819.23</t>
  </si>
  <si>
    <t>2,821.99</t>
  </si>
  <si>
    <t>2,823.27</t>
  </si>
  <si>
    <t>2,848.63</t>
  </si>
  <si>
    <t>2,858.75</t>
  </si>
  <si>
    <t>2,865.17</t>
  </si>
  <si>
    <t>2,867.14</t>
  </si>
  <si>
    <t>2,873.33</t>
  </si>
  <si>
    <t>2,879.13</t>
  </si>
  <si>
    <t>2,880.78</t>
  </si>
  <si>
    <t>2,881.99</t>
  </si>
  <si>
    <t>2,882.99</t>
  </si>
  <si>
    <t>2,891.90</t>
  </si>
  <si>
    <t>2,895.45</t>
  </si>
  <si>
    <t>2,896.35</t>
  </si>
  <si>
    <t>2,896.48</t>
  </si>
  <si>
    <t>2,898.37</t>
  </si>
  <si>
    <t>2,900.71</t>
  </si>
  <si>
    <t>2,908.53</t>
  </si>
  <si>
    <t>2,912.84</t>
  </si>
  <si>
    <t>2,917.56</t>
  </si>
  <si>
    <t>2,924.11</t>
  </si>
  <si>
    <t>2,926.05</t>
  </si>
  <si>
    <t>2,939.35</t>
  </si>
  <si>
    <t>2,825.39</t>
  </si>
  <si>
    <t>2,836.40</t>
  </si>
  <si>
    <t>2,862.60</t>
  </si>
  <si>
    <t>2,873.28</t>
  </si>
  <si>
    <t>2,898.21</t>
  </si>
  <si>
    <t>2,900.50</t>
  </si>
  <si>
    <t>2,923.36</t>
  </si>
  <si>
    <t>2,929.21</t>
  </si>
  <si>
    <t>2,346.58</t>
  </si>
  <si>
    <t>2,397.94</t>
  </si>
  <si>
    <t>2,408.55</t>
  </si>
  <si>
    <t>2,441.18</t>
  </si>
  <si>
    <t>2,472.89</t>
  </si>
  <si>
    <t>2,482.82</t>
  </si>
  <si>
    <t>2,488.96</t>
  </si>
  <si>
    <t>2,528.71</t>
  </si>
  <si>
    <t>2,530.54</t>
  </si>
  <si>
    <t>2,476.96</t>
  </si>
  <si>
    <t>2,491.92</t>
  </si>
  <si>
    <t>2,535.61</t>
  </si>
  <si>
    <t>2,568.11</t>
  </si>
  <si>
    <t>2,573.51</t>
  </si>
  <si>
    <t>2,580.00</t>
  </si>
  <si>
    <t>2,580.31</t>
  </si>
  <si>
    <t>2,588.11</t>
  </si>
  <si>
    <t>2,609.28</t>
  </si>
  <si>
    <t>2,614.75</t>
  </si>
  <si>
    <t>2,638.84</t>
  </si>
  <si>
    <t>2,643.48</t>
  </si>
  <si>
    <t>2,644.89</t>
  </si>
  <si>
    <t>2,651.27</t>
  </si>
  <si>
    <t>2,653.62</t>
  </si>
  <si>
    <t>2,657.44</t>
  </si>
  <si>
    <t>2,685.49</t>
  </si>
  <si>
    <t>2,692.36</t>
  </si>
  <si>
    <t>2,702.32</t>
  </si>
  <si>
    <t>2,706.49</t>
  </si>
  <si>
    <t>2,712.40</t>
  </si>
  <si>
    <t>2,717.53</t>
  </si>
  <si>
    <t>2,728.34</t>
  </si>
  <si>
    <t>2,735.05</t>
  </si>
  <si>
    <t>2,743.50</t>
  </si>
  <si>
    <t>2,750.30</t>
  </si>
  <si>
    <t>2,769.28</t>
  </si>
  <si>
    <t>2,779.05</t>
  </si>
  <si>
    <t>2,780.24</t>
  </si>
  <si>
    <t>2,780.67</t>
  </si>
  <si>
    <t>2,787.50</t>
  </si>
  <si>
    <t>2,788.11</t>
  </si>
  <si>
    <t>2,792.36</t>
  </si>
  <si>
    <t>2,804.35</t>
  </si>
  <si>
    <t>2,730.79</t>
  </si>
  <si>
    <t>2,766.53</t>
  </si>
  <si>
    <t>2,787.34</t>
  </si>
  <si>
    <t>2,794.41</t>
  </si>
  <si>
    <t>2,796.01</t>
  </si>
  <si>
    <t>2,798.22</t>
  </si>
  <si>
    <t>2,809.40</t>
  </si>
  <si>
    <t>2,810.38</t>
  </si>
  <si>
    <t>2,812.66</t>
  </si>
  <si>
    <t>2,814.37</t>
  </si>
  <si>
    <t>2,819.72</t>
  </si>
  <si>
    <t>2,822.61</t>
  </si>
  <si>
    <t>2,828.27</t>
  </si>
  <si>
    <t>2,831.34</t>
  </si>
  <si>
    <t>2,840.76</t>
  </si>
  <si>
    <t>2,844.52</t>
  </si>
  <si>
    <t>2,868.24</t>
  </si>
  <si>
    <t>2,873.99</t>
  </si>
  <si>
    <t>2,876.09</t>
  </si>
  <si>
    <t>2,881.37</t>
  </si>
  <si>
    <t>2,884.16</t>
  </si>
  <si>
    <t>2,886.58</t>
  </si>
  <si>
    <t>2,888.46</t>
  </si>
  <si>
    <t>2,891.92</t>
  </si>
  <si>
    <t>2,898.78</t>
  </si>
  <si>
    <t>2,900.86</t>
  </si>
  <si>
    <t>2,904.81</t>
  </si>
  <si>
    <t>2,908.32</t>
  </si>
  <si>
    <t>2,909.99</t>
  </si>
  <si>
    <t>2,912.26</t>
  </si>
  <si>
    <t>2,916.04</t>
  </si>
  <si>
    <t>2,925.81</t>
  </si>
  <si>
    <t>2,928.99</t>
  </si>
  <si>
    <t>2,934.00</t>
  </si>
  <si>
    <t>2,937.14</t>
  </si>
  <si>
    <t>2,940.58</t>
  </si>
  <si>
    <t>2,859.84</t>
  </si>
  <si>
    <t>2,863.10</t>
  </si>
  <si>
    <t>2,879.61</t>
  </si>
  <si>
    <t>2,908.89</t>
  </si>
  <si>
    <t>2,922.16</t>
  </si>
  <si>
    <t>2,952.33</t>
  </si>
  <si>
    <t>2,363.12</t>
  </si>
  <si>
    <t>2,400.56</t>
  </si>
  <si>
    <t>2,442.50</t>
  </si>
  <si>
    <t>2,465.38</t>
  </si>
  <si>
    <t>2,496.77</t>
  </si>
  <si>
    <t>2,498.77</t>
  </si>
  <si>
    <t>2,498.94</t>
  </si>
  <si>
    <t>2,547.05</t>
  </si>
  <si>
    <t>2,559.90</t>
  </si>
  <si>
    <t>2,590.75</t>
  </si>
  <si>
    <t>Date</t>
  </si>
  <si>
    <t>Open</t>
  </si>
  <si>
    <t>High</t>
  </si>
  <si>
    <t>Low</t>
  </si>
  <si>
    <t>Close*</t>
  </si>
  <si>
    <t>Adj Close**</t>
  </si>
  <si>
    <t>Volume</t>
  </si>
  <si>
    <t>3,529,600,000</t>
  </si>
  <si>
    <t>3,638,820,000</t>
  </si>
  <si>
    <t>3,485,790,000</t>
  </si>
  <si>
    <t>3,767,100,000</t>
  </si>
  <si>
    <t>3,181,520,000</t>
  </si>
  <si>
    <t>3,338,120,000</t>
  </si>
  <si>
    <t>3,778,890,000</t>
  </si>
  <si>
    <t>3,645,850,000</t>
  </si>
  <si>
    <t>3,919,330,000</t>
  </si>
  <si>
    <t>3,118,780,000</t>
  </si>
  <si>
    <t>3,248,500,000</t>
  </si>
  <si>
    <t>3,425,280,000</t>
  </si>
  <si>
    <t>3,448,960,000</t>
  </si>
  <si>
    <t>3,635,030,000</t>
  </si>
  <si>
    <t>2,997,950,000</t>
  </si>
  <si>
    <t>3,506,850,000</t>
  </si>
  <si>
    <t>3,602,300,000</t>
  </si>
  <si>
    <t>3,402,210,000</t>
  </si>
  <si>
    <t>3,088,330,000</t>
  </si>
  <si>
    <t>3,688,490,000</t>
  </si>
  <si>
    <t>2,938,540,000</t>
  </si>
  <si>
    <t>3,062,380,000</t>
  </si>
  <si>
    <t>3,007,980,000</t>
  </si>
  <si>
    <t>3,054,030,000</t>
  </si>
  <si>
    <t>3,146,820,000</t>
  </si>
  <si>
    <t>3,015,180,000</t>
  </si>
  <si>
    <t>3,550,240,000</t>
  </si>
  <si>
    <t>3,246,900,000</t>
  </si>
  <si>
    <t>3,500,760,000</t>
  </si>
  <si>
    <t>3,740,700,000</t>
  </si>
  <si>
    <t>3,158,170,000</t>
  </si>
  <si>
    <t>3,372,930,000</t>
  </si>
  <si>
    <t>3,266,050,000</t>
  </si>
  <si>
    <t>3,376,580,000</t>
  </si>
  <si>
    <t>4,237,200,000</t>
  </si>
  <si>
    <t>3,546,800,000</t>
  </si>
  <si>
    <t>3,771,200,000</t>
  </si>
  <si>
    <t>3,620,220,000</t>
  </si>
  <si>
    <t>3,552,190,000</t>
  </si>
  <si>
    <t>5,962,730,000</t>
  </si>
  <si>
    <t>3,469,730,000</t>
  </si>
  <si>
    <t>3,766,150,000</t>
  </si>
  <si>
    <t>3,414,230,000</t>
  </si>
  <si>
    <t>3,749,030,000</t>
  </si>
  <si>
    <t>3,423,130,000</t>
  </si>
  <si>
    <t>3,904,860,000</t>
  </si>
  <si>
    <t>3,786,600,000</t>
  </si>
  <si>
    <t>3,585,690,000</t>
  </si>
  <si>
    <t>3,919,810,000</t>
  </si>
  <si>
    <t>3,972,280,000</t>
  </si>
  <si>
    <t>4,396,930,000</t>
  </si>
  <si>
    <t>3,767,130,000</t>
  </si>
  <si>
    <t>3,645,680,000</t>
  </si>
  <si>
    <t>3,804,380,000</t>
  </si>
  <si>
    <t>3,427,810,000</t>
  </si>
  <si>
    <t>3,559,710,000</t>
  </si>
  <si>
    <t>3,835,450,000</t>
  </si>
  <si>
    <t>3,533,710,000</t>
  </si>
  <si>
    <t>3,641,370,000</t>
  </si>
  <si>
    <t>3,836,700,000</t>
  </si>
  <si>
    <t>3,670,770,000</t>
  </si>
  <si>
    <t>3,827,770,000</t>
  </si>
  <si>
    <t>3,361,970,000</t>
  </si>
  <si>
    <t>3,622,330,000</t>
  </si>
  <si>
    <t>4,099,490,000</t>
  </si>
  <si>
    <t>3,472,690,000</t>
  </si>
  <si>
    <t>3,560,430,000</t>
  </si>
  <si>
    <t>3,359,840,000</t>
  </si>
  <si>
    <t>3,759,270,000</t>
  </si>
  <si>
    <t>4,917,650,000</t>
  </si>
  <si>
    <t>3,857,810,000</t>
  </si>
  <si>
    <t>3,504,200,000</t>
  </si>
  <si>
    <t>3,612,810,000</t>
  </si>
  <si>
    <t>3,814,080,000</t>
  </si>
  <si>
    <t>3,433,250,000</t>
  </si>
  <si>
    <t>3,335,610,000</t>
  </si>
  <si>
    <t>3,908,030,000</t>
  </si>
  <si>
    <t>3,986,730,000</t>
  </si>
  <si>
    <t>3,772,270,000</t>
  </si>
  <si>
    <t>3,863,770,000</t>
  </si>
  <si>
    <t>3,572,330,000</t>
  </si>
  <si>
    <t>3,664,450,000</t>
  </si>
  <si>
    <t>3,434,490,000</t>
  </si>
  <si>
    <t>3,704,500,000</t>
  </si>
  <si>
    <t>4,052,480,000</t>
  </si>
  <si>
    <t>4,083,030,000</t>
  </si>
  <si>
    <t>4,104,710,000</t>
  </si>
  <si>
    <t>4,213,410,000</t>
  </si>
  <si>
    <t>3,822,860,000</t>
  </si>
  <si>
    <t>3,733,160,000</t>
  </si>
  <si>
    <t>3,442,870,000</t>
  </si>
  <si>
    <t>3,702,620,000</t>
  </si>
  <si>
    <t>4,096,610,000</t>
  </si>
  <si>
    <t>4,233,990,000</t>
  </si>
  <si>
    <t>2,613,930,000</t>
  </si>
  <si>
    <t>7,609,010,000</t>
  </si>
  <si>
    <t>5,585,780,000</t>
  </si>
  <si>
    <t>5,127,940,000</t>
  </si>
  <si>
    <t>4,470,880,000</t>
  </si>
  <si>
    <t>4,616,350,000</t>
  </si>
  <si>
    <t>Replace1</t>
  </si>
  <si>
    <t>1,597.13</t>
  </si>
  <si>
    <t>1,615.61</t>
  </si>
  <si>
    <t>1,593.47</t>
  </si>
  <si>
    <t>1,603.37</t>
  </si>
  <si>
    <t>1,622.45</t>
  </si>
  <si>
    <t>1,593.84</t>
  </si>
  <si>
    <t>1,596.69</t>
  </si>
  <si>
    <t>1,617.25</t>
  </si>
  <si>
    <t>1,624.77</t>
  </si>
  <si>
    <t>1,611.50</t>
  </si>
  <si>
    <t>1,623.37</t>
  </si>
  <si>
    <t>1,647.85</t>
  </si>
  <si>
    <t>1,653.00</t>
  </si>
  <si>
    <t>1,613.35</t>
  </si>
  <si>
    <t>1,617.85</t>
  </si>
  <si>
    <t>1,665.89</t>
  </si>
  <si>
    <t>1,627.20</t>
  </si>
  <si>
    <t>1,649.22</t>
  </si>
  <si>
    <t>1,664.94</t>
  </si>
  <si>
    <t>1,676.90</t>
  </si>
  <si>
    <t>1,664.05</t>
  </si>
  <si>
    <t>1,672.33</t>
  </si>
  <si>
    <t>1,675.76</t>
  </si>
  <si>
    <t>1,662.28</t>
  </si>
  <si>
    <t>1,665.45</t>
  </si>
  <si>
    <t>1,691.33</t>
  </si>
  <si>
    <t>1,691.43</t>
  </si>
  <si>
    <t>1,675.97</t>
  </si>
  <si>
    <t>1,676.14</t>
  </si>
  <si>
    <t>1,689.76</t>
  </si>
  <si>
    <t>1,694.19</t>
  </si>
  <si>
    <t>1,684.32</t>
  </si>
  <si>
    <t>1,693.31</t>
  </si>
  <si>
    <t>1,689.90</t>
  </si>
  <si>
    <t>1,693.05</t>
  </si>
  <si>
    <t>1,680.91</t>
  </si>
  <si>
    <t>1,689.04</t>
  </si>
  <si>
    <t>1,678.97</t>
  </si>
  <si>
    <t>1,700.35</t>
  </si>
  <si>
    <t>1,668.43</t>
  </si>
  <si>
    <t>1,689.42</t>
  </si>
  <si>
    <t>1,672.10</t>
  </si>
  <si>
    <t>1,686.40</t>
  </si>
  <si>
    <t>1,670.41</t>
  </si>
  <si>
    <t>1,680.72</t>
  </si>
  <si>
    <t>1,670.50</t>
  </si>
  <si>
    <t>1,673.80</t>
  </si>
  <si>
    <t>1,661.39</t>
  </si>
  <si>
    <t>1,672.18</t>
  </si>
  <si>
    <t>1,660.97</t>
  </si>
  <si>
    <t>1,673.03</t>
  </si>
  <si>
    <t>1,654.55</t>
  </si>
  <si>
    <t>1,670.74</t>
  </si>
  <si>
    <t>1,647.69</t>
  </si>
  <si>
    <t>1,660.62</t>
  </si>
  <si>
    <t>1,645.35</t>
  </si>
  <si>
    <t>1,660.14</t>
  </si>
  <si>
    <t>1,642.16</t>
  </si>
  <si>
    <t>1,654.10</t>
  </si>
  <si>
    <t>1,647.52</t>
  </si>
  <si>
    <t>1,641.21</t>
  </si>
  <si>
    <t>1,644.98</t>
  </si>
  <si>
    <t>1,637.14</t>
  </si>
  <si>
    <t>1,642.63</t>
  </si>
  <si>
    <t>1,627.02</t>
  </si>
  <si>
    <t>1,642.96</t>
  </si>
  <si>
    <t>1,625.36</t>
  </si>
  <si>
    <t>1,626.78</t>
  </si>
  <si>
    <t>1,633.09</t>
  </si>
  <si>
    <t>1,620.98</t>
  </si>
  <si>
    <t>1,627.03</t>
  </si>
  <si>
    <t>1,616.15</t>
  </si>
  <si>
    <t>1,628.74</t>
  </si>
  <si>
    <t>1,615.33</t>
  </si>
  <si>
    <t>1,628.55</t>
  </si>
  <si>
    <t>1,625.37</t>
  </si>
  <si>
    <t>1,633.83</t>
  </si>
  <si>
    <t>1,614.01</t>
  </si>
  <si>
    <t>1,616.56</t>
  </si>
  <si>
    <t>1,621.90</t>
  </si>
  <si>
    <t>1,624.52</t>
  </si>
  <si>
    <t>1,615.76</t>
  </si>
  <si>
    <t>1,616.36</t>
  </si>
  <si>
    <t>1,624.28</t>
  </si>
  <si>
    <t>1,616.26</t>
  </si>
  <si>
    <t>1,622.27</t>
  </si>
  <si>
    <t>1,622.75</t>
  </si>
  <si>
    <t>1,608.94</t>
  </si>
  <si>
    <t>1,616.24</t>
  </si>
  <si>
    <t>1,596.04</t>
  </si>
  <si>
    <t>1,622.38</t>
  </si>
  <si>
    <t>1,580.66</t>
  </si>
  <si>
    <t>1,598.71</t>
  </si>
  <si>
    <t>1,577.59</t>
  </si>
  <si>
    <t>1,593.95</t>
  </si>
  <si>
    <t>1,554.92</t>
  </si>
  <si>
    <t>1,580.98</t>
  </si>
  <si>
    <t>1,580.33</t>
  </si>
  <si>
    <t>1,561.31</t>
  </si>
  <si>
    <t>1,564.30</t>
  </si>
  <si>
    <t>1,545.19</t>
  </si>
  <si>
    <t>1,553.42</t>
  </si>
  <si>
    <t>1,565.44</t>
  </si>
  <si>
    <t>1,571.17</t>
  </si>
  <si>
    <t>1,553.80</t>
  </si>
  <si>
    <t>1,559.32</t>
  </si>
  <si>
    <t>1,575.00</t>
  </si>
  <si>
    <t>1,579.65</t>
  </si>
  <si>
    <t>1,560.49</t>
  </si>
  <si>
    <t>1,565.85</t>
  </si>
  <si>
    <t>1,574.59</t>
  </si>
  <si>
    <t>1,576.03</t>
  </si>
  <si>
    <t>1,565.50</t>
  </si>
  <si>
    <t>1,574.16</t>
  </si>
  <si>
    <t>1,576.82</t>
  </si>
  <si>
    <t>1,578.63</t>
  </si>
  <si>
    <t>1,563.23</t>
  </si>
  <si>
    <t>1,573.66</t>
  </si>
  <si>
    <t>1,606.00</t>
  </si>
  <si>
    <t>1,610.37</t>
  </si>
  <si>
    <t>1,576.87</t>
  </si>
  <si>
    <t>1,605.31</t>
  </si>
  <si>
    <t>1,610.04</t>
  </si>
  <si>
    <t>1,595.45</t>
  </si>
  <si>
    <t>1,605.03</t>
  </si>
  <si>
    <t>1,614.58</t>
  </si>
  <si>
    <t>1,619.75</t>
  </si>
  <si>
    <t>1,605.99</t>
  </si>
  <si>
    <t>1,605.80</t>
  </si>
  <si>
    <t>1,622.33</t>
  </si>
  <si>
    <t>1,604.32</t>
  </si>
  <si>
    <t>1,615.14</t>
  </si>
  <si>
    <t>1,595.92</t>
  </si>
  <si>
    <t>1,607.54</t>
  </si>
  <si>
    <t>1,605.01</t>
  </si>
  <si>
    <t>1,590.76</t>
  </si>
  <si>
    <t>1,597.61</t>
  </si>
  <si>
    <t>1,582.25</t>
  </si>
  <si>
    <t>1,595.76</t>
  </si>
  <si>
    <t>1,572.86</t>
  </si>
  <si>
    <t>1,572.83</t>
  </si>
  <si>
    <t>1,565.33</t>
  </si>
  <si>
    <t>1,574.20</t>
  </si>
  <si>
    <t>1,561.18</t>
  </si>
  <si>
    <t>1,572.80</t>
  </si>
  <si>
    <t>1,572.27</t>
  </si>
  <si>
    <t>1,577.52</t>
  </si>
  <si>
    <t>1,563.84</t>
  </si>
  <si>
    <t>1,565.56</t>
  </si>
  <si>
    <t>1,559.22</t>
  </si>
  <si>
    <t>1,571.26</t>
  </si>
  <si>
    <t>1,558.72</t>
  </si>
  <si>
    <t>1,569.93</t>
  </si>
  <si>
    <t>1,558.33</t>
  </si>
  <si>
    <t>1,559.05</t>
  </si>
  <si>
    <t>1,546.71</t>
  </si>
  <si>
    <t>1,558.63</t>
  </si>
  <si>
    <t>1,572.48</t>
  </si>
  <si>
    <t>1,575.50</t>
  </si>
  <si>
    <t>1,553.14</t>
  </si>
  <si>
    <t>1,558.91</t>
  </si>
  <si>
    <t>1,588.06</t>
  </si>
  <si>
    <t>1,571.46</t>
  </si>
  <si>
    <t>1,572.63</t>
  </si>
  <si>
    <t>1,587.95</t>
  </si>
  <si>
    <t>1,590.41</t>
  </si>
  <si>
    <t>1,575.58</t>
  </si>
  <si>
    <t>1,587.97</t>
  </si>
  <si>
    <t>1,580.70</t>
  </si>
  <si>
    <t>1,592.68</t>
  </si>
  <si>
    <t>1,580.29</t>
  </si>
  <si>
    <t>1,587.79</t>
  </si>
  <si>
    <t>1,574.30</t>
  </si>
  <si>
    <t>1,585.58</t>
  </si>
  <si>
    <t>1,573.86</t>
  </si>
  <si>
    <t>1,580.22</t>
  </si>
  <si>
    <t>1,576.98</t>
  </si>
  <si>
    <t>1,577.42</t>
  </si>
  <si>
    <t>1,558.05</t>
  </si>
  <si>
    <t>1,572.68</t>
  </si>
  <si>
    <t>1,583.17</t>
  </si>
  <si>
    <t>1,573.24</t>
  </si>
  <si>
    <t>1,576.55</t>
  </si>
  <si>
    <t>1,585.21</t>
  </si>
  <si>
    <t>1,589.23</t>
  </si>
  <si>
    <t>1,577.16</t>
  </si>
  <si>
    <t>1,583.95</t>
  </si>
  <si>
    <t>1,590.52</t>
  </si>
  <si>
    <t>1,598.09</t>
  </si>
  <si>
    <t>1,581.09</t>
  </si>
  <si>
    <t>1,586.55</t>
  </si>
  <si>
    <t>1,573.01</t>
  </si>
  <si>
    <t>1,591.81</t>
  </si>
  <si>
    <t>1,588.83</t>
  </si>
  <si>
    <t>1,585.82</t>
  </si>
  <si>
    <t>1,591.26</t>
  </si>
  <si>
    <t>1,572.65</t>
  </si>
  <si>
    <t>1,587.55</t>
  </si>
  <si>
    <t>1,591.36</t>
  </si>
  <si>
    <t>1,578.74</t>
  </si>
  <si>
    <t>1,588.61</t>
  </si>
  <si>
    <t>1,584.02</t>
  </si>
  <si>
    <t>1,591.96</t>
  </si>
  <si>
    <t>1,581.73</t>
  </si>
  <si>
    <t>1,587.22</t>
  </si>
  <si>
    <t>1,583.45</t>
  </si>
  <si>
    <t>1,588.82</t>
  </si>
  <si>
    <t>1,576.66</t>
  </si>
  <si>
    <t>1,583.86</t>
  </si>
  <si>
    <t>1,561.95</t>
  </si>
  <si>
    <t>1,584.46</t>
  </si>
  <si>
    <t>1,555.98</t>
  </si>
  <si>
    <t>1,583.82</t>
  </si>
  <si>
    <t>1,559.55</t>
  </si>
  <si>
    <t>1,570.62</t>
  </si>
  <si>
    <t>1,557.58</t>
  </si>
  <si>
    <t>1,562.36</t>
  </si>
  <si>
    <t>1,550.43</t>
  </si>
  <si>
    <t>1,562.23</t>
  </si>
  <si>
    <t>1,549.57</t>
  </si>
  <si>
    <t>1,558.58</t>
  </si>
  <si>
    <t>1,543.85</t>
  </si>
  <si>
    <t>1,551.99</t>
  </si>
  <si>
    <t>1,542.79</t>
  </si>
  <si>
    <t>1,549.41</t>
  </si>
  <si>
    <t>1,528.20</t>
  </si>
  <si>
    <t>1,546.16</t>
  </si>
  <si>
    <t>1,542.33</t>
  </si>
  <si>
    <t>1,529.43</t>
  </si>
  <si>
    <t>1,536.03</t>
  </si>
  <si>
    <t>1,524.29</t>
  </si>
  <si>
    <t>1,527.17</t>
  </si>
  <si>
    <t>1,551.35</t>
  </si>
  <si>
    <t>1,557.79</t>
  </si>
  <si>
    <t>1,529.28</t>
  </si>
  <si>
    <t>1,542.11</t>
  </si>
  <si>
    <t>1,554.05</t>
  </si>
  <si>
    <t>1,537.64</t>
  </si>
  <si>
    <t>1,551.15</t>
  </si>
  <si>
    <t>1,526.35</t>
  </si>
  <si>
    <t>1,544.35</t>
  </si>
  <si>
    <t>1,542.49</t>
  </si>
  <si>
    <t>1,526.89</t>
  </si>
  <si>
    <t>1,529.38</t>
  </si>
  <si>
    <t>1,520.22</t>
  </si>
  <si>
    <t>1,527.19</t>
  </si>
  <si>
    <t>1,515.78</t>
  </si>
  <si>
    <t>1,528.29</t>
  </si>
  <si>
    <t>1,514.93</t>
  </si>
  <si>
    <t>1,525.69</t>
  </si>
  <si>
    <t>90,458,900</t>
  </si>
  <si>
    <t>1,510.51</t>
  </si>
  <si>
    <t>1,526.13</t>
  </si>
  <si>
    <t>1,507.25</t>
  </si>
  <si>
    <t>1,515.42</t>
  </si>
  <si>
    <t>1,501.88</t>
  </si>
  <si>
    <t>1,510.93</t>
  </si>
  <si>
    <t>1,497.45</t>
  </si>
  <si>
    <t>1,509.50</t>
  </si>
  <si>
    <t>1,491.38</t>
  </si>
  <si>
    <t>1,506.00</t>
  </si>
  <si>
    <t>1,485.52</t>
  </si>
  <si>
    <t>1,502.72</t>
  </si>
  <si>
    <t>1,501.15</t>
  </si>
  <si>
    <t>1,505.58</t>
  </si>
  <si>
    <t>1,489.44</t>
  </si>
  <si>
    <t>1,491.01</t>
  </si>
  <si>
    <t>1,487.70</t>
  </si>
  <si>
    <t>1,505.72</t>
  </si>
  <si>
    <t>1,501.12</t>
  </si>
  <si>
    <t>1,479.42</t>
  </si>
  <si>
    <t>1,489.70</t>
  </si>
  <si>
    <t>1,478.19</t>
  </si>
  <si>
    <t>1,488.40</t>
  </si>
  <si>
    <t>1,485.90</t>
  </si>
  <si>
    <t>1,486.80</t>
  </si>
  <si>
    <t>1,473.46</t>
  </si>
  <si>
    <t>1,478.72</t>
  </si>
  <si>
    <t>1,492.72</t>
  </si>
  <si>
    <t>1,496.89</t>
  </si>
  <si>
    <t>1,480.28</t>
  </si>
  <si>
    <t>1,486.32</t>
  </si>
  <si>
    <t>1,499.88</t>
  </si>
  <si>
    <t>1,501.28</t>
  </si>
  <si>
    <t>1,487.67</t>
  </si>
  <si>
    <t>1,493.76</t>
  </si>
  <si>
    <t>1,474.62</t>
  </si>
  <si>
    <t>1,499.79</t>
  </si>
  <si>
    <t>1,468.19</t>
  </si>
  <si>
    <t>1,476.64</t>
  </si>
  <si>
    <t>1,458.79</t>
  </si>
  <si>
    <t>1,473.89</t>
  </si>
  <si>
    <t>1,456.47</t>
  </si>
  <si>
    <t>1,472.81</t>
  </si>
  <si>
    <t>1,455.44</t>
  </si>
  <si>
    <t>1,468.85</t>
  </si>
  <si>
    <t>1,459.92</t>
  </si>
  <si>
    <t>1,471.93</t>
  </si>
  <si>
    <t>1,451.23</t>
  </si>
  <si>
    <t>1,455.48</t>
  </si>
  <si>
    <t>1,462.62</t>
  </si>
  <si>
    <t>1,454.65</t>
  </si>
  <si>
    <t>1,458.13</t>
  </si>
  <si>
    <t>1,470.14</t>
  </si>
  <si>
    <t>1,478.64</t>
  </si>
  <si>
    <t>1,460.72</t>
  </si>
  <si>
    <t>1,465.43</t>
  </si>
  <si>
    <t>1,469.05</t>
  </si>
  <si>
    <t>1,472.74</t>
  </si>
  <si>
    <t>1,454.90</t>
  </si>
  <si>
    <t>1,470.69</t>
  </si>
  <si>
    <t>1,458.05</t>
  </si>
  <si>
    <t>1,475.95</t>
  </si>
  <si>
    <t>1,470.51</t>
  </si>
  <si>
    <t>1,440.74</t>
  </si>
  <si>
    <t>1,464.02</t>
  </si>
  <si>
    <t>1,440.05</t>
  </si>
  <si>
    <t>1,457.47</t>
  </si>
  <si>
    <t>88,490,300</t>
  </si>
  <si>
    <t>1,437.74</t>
  </si>
  <si>
    <t>1,446.15</t>
  </si>
  <si>
    <t>1,433.62</t>
  </si>
  <si>
    <t>1,439.93</t>
  </si>
  <si>
    <t>1,395.28</t>
  </si>
  <si>
    <t>1,437.86</t>
  </si>
  <si>
    <t>1,435.29</t>
  </si>
  <si>
    <t>1,403.80</t>
  </si>
  <si>
    <t>1,407.86</t>
  </si>
  <si>
    <t>1,390.65</t>
  </si>
  <si>
    <t>1,393.52</t>
  </si>
  <si>
    <t>1,407.65</t>
  </si>
  <si>
    <t>1,410.49</t>
  </si>
  <si>
    <t>1,378.20</t>
  </si>
  <si>
    <t>1,405.85</t>
  </si>
  <si>
    <t>1,387.52</t>
  </si>
  <si>
    <t>1,416.10</t>
  </si>
  <si>
    <t>1,408.74</t>
  </si>
  <si>
    <t>1,409.99</t>
  </si>
  <si>
    <t>1,420.50</t>
  </si>
  <si>
    <t>1,378.42</t>
  </si>
  <si>
    <t>1,384.59</t>
  </si>
  <si>
    <t>1,418.34</t>
  </si>
  <si>
    <t>1,418.47</t>
  </si>
  <si>
    <t>1,397.99</t>
  </si>
  <si>
    <t>1,408.34</t>
  </si>
  <si>
    <t>1,446.83</t>
  </si>
  <si>
    <t>1,419.01</t>
  </si>
  <si>
    <t>1,447.29</t>
  </si>
  <si>
    <t>1,455.84</t>
  </si>
  <si>
    <t>1,444.72</t>
  </si>
  <si>
    <t>1,450.11</t>
  </si>
  <si>
    <t>1,450.73</t>
  </si>
  <si>
    <t>1,457.15</t>
  </si>
  <si>
    <t>1,443.08</t>
  </si>
  <si>
    <t>1,447.79</t>
  </si>
  <si>
    <t>1,471.68</t>
  </si>
  <si>
    <t>1,450.36</t>
  </si>
  <si>
    <t>1,451.95</t>
  </si>
  <si>
    <t>1,477.27</t>
  </si>
  <si>
    <t>1,481.72</t>
  </si>
  <si>
    <t>1,458.65</t>
  </si>
  <si>
    <t>1,471.67</t>
  </si>
  <si>
    <t>1,494.37</t>
  </si>
  <si>
    <t>1,497.31</t>
  </si>
  <si>
    <t>1,476.80</t>
  </si>
  <si>
    <t>1,478.75</t>
  </si>
  <si>
    <t>1,465.78</t>
  </si>
  <si>
    <t>1,494.21</t>
  </si>
  <si>
    <t>1,465.54</t>
  </si>
  <si>
    <t>S&amp;P500</t>
  </si>
  <si>
    <t>OMX30</t>
  </si>
  <si>
    <t>OMX30 in SEK</t>
  </si>
  <si>
    <t>S&amp;P500 in USD</t>
  </si>
  <si>
    <t>DateComp</t>
  </si>
  <si>
    <t>OpenComp</t>
  </si>
  <si>
    <t>0</t>
  </si>
  <si>
    <t>Tokyo</t>
  </si>
  <si>
    <t>London</t>
  </si>
  <si>
    <t>Automatic</t>
  </si>
  <si>
    <t>Ticker:</t>
  </si>
  <si>
    <t>Manual</t>
  </si>
  <si>
    <t>New york</t>
  </si>
  <si>
    <t>Currency in SGD</t>
  </si>
  <si>
    <t>5UX.SI</t>
  </si>
  <si>
    <t>100</t>
  </si>
  <si>
    <t>735</t>
  </si>
  <si>
    <t>1 192</t>
  </si>
  <si>
    <t>3 562</t>
  </si>
  <si>
    <t>16 537</t>
  </si>
  <si>
    <t>106</t>
  </si>
  <si>
    <t>16 277</t>
  </si>
  <si>
    <t>New York (USA - New York)Wednesday, 28 August 2019, 04:00:01EDTUTC-4 hours</t>
  </si>
  <si>
    <t>Tokyo (Japan)Wednesday, 28 August 2019, 17:00:01JSTUTC+9 hours</t>
  </si>
  <si>
    <t>London (United Kingdom - England)Wednesday, 28 August 2019, 09:00:01BSTUTC+1 hour</t>
  </si>
  <si>
    <t>N/A</t>
  </si>
  <si>
    <t>2</t>
  </si>
  <si>
    <t>-146</t>
  </si>
  <si>
    <t>3</t>
  </si>
  <si>
    <t>20</t>
  </si>
  <si>
    <t>51</t>
  </si>
  <si>
    <t>1 289</t>
  </si>
  <si>
    <t>95</t>
  </si>
  <si>
    <t>9</t>
  </si>
  <si>
    <t>-24</t>
  </si>
  <si>
    <t>CapitaLand Limited, together with its subsidiaries, develops, owns, and manages real estate properties in Singapore, North America, Europe, Asia, the United Kingdom, and internationally. The company operates through CapitaLand Singapore, CapitaLand China, CapitaLand Vietnam, and CapitaLand International segments. Its real estate portfolio includes integrated developments, shopping malls, lodging, offices, homes, and real estate investment trusts and funds. CapitaLand Limited also invests in real estate financial products and assets; and provides investment advisory and management services, as well as real estate asset management services. In addition, it offers software and network technique development and management and consultancy services. The company was formerly known as Pidemco Land Limited and changed its name to CapitaLand Limited in November 2000. CapitaLand Limited was founded in 1989 and is headquartered in Singapore.</t>
  </si>
  <si>
    <t>CapitaLand Limited (C31.SI)</t>
  </si>
  <si>
    <t>17.077B</t>
  </si>
  <si>
    <t>3.0200 - 3.7500</t>
  </si>
  <si>
    <t>5 602 423</t>
  </si>
  <si>
    <t>4 618 200</t>
  </si>
  <si>
    <t>5 252 334</t>
  </si>
  <si>
    <t>4 553 854</t>
  </si>
  <si>
    <t>2 912 981</t>
  </si>
  <si>
    <t>2 594 087</t>
  </si>
  <si>
    <t>3 654 454</t>
  </si>
  <si>
    <t>3 286 837</t>
  </si>
  <si>
    <t>2 689 442</t>
  </si>
  <si>
    <t>2 024 113</t>
  </si>
  <si>
    <t>1 597 880</t>
  </si>
  <si>
    <t>1 267 017</t>
  </si>
  <si>
    <t>450 692</t>
  </si>
  <si>
    <t>422 998</t>
  </si>
  <si>
    <t>394 367</t>
  </si>
  <si>
    <t>401 963</t>
  </si>
  <si>
    <t>-13 559</t>
  </si>
  <si>
    <t>12 023</t>
  </si>
  <si>
    <t>-14 213</t>
  </si>
  <si>
    <t>-26 704</t>
  </si>
  <si>
    <t>3 350 114</t>
  </si>
  <si>
    <t>3 029 108</t>
  </si>
  <si>
    <t>4 034 608</t>
  </si>
  <si>
    <t>3 662 096</t>
  </si>
  <si>
    <t>2 252 309</t>
  </si>
  <si>
    <t>1 589 092</t>
  </si>
  <si>
    <t>1 217 726</t>
  </si>
  <si>
    <t>891 758</t>
  </si>
  <si>
    <t>1 256 194</t>
  </si>
  <si>
    <t>1 226 438</t>
  </si>
  <si>
    <t>689 177</t>
  </si>
  <si>
    <t>947 001</t>
  </si>
  <si>
    <t>-586 549</t>
  </si>
  <si>
    <t>-437 784</t>
  </si>
  <si>
    <t>-415 485</t>
  </si>
  <si>
    <t>-432 833</t>
  </si>
  <si>
    <t>3 508 503</t>
  </si>
  <si>
    <t>2 815 530</t>
  </si>
  <si>
    <t>1 906 903</t>
  </si>
  <si>
    <t>1 838 759</t>
  </si>
  <si>
    <t>658 691</t>
  </si>
  <si>
    <t>468 950</t>
  </si>
  <si>
    <t>402 634</t>
  </si>
  <si>
    <t>343 503</t>
  </si>
  <si>
    <t>14 354 227</t>
  </si>
  <si>
    <t>13 704 934</t>
  </si>
  <si>
    <t>6 695 630</t>
  </si>
  <si>
    <t>7 032 356</t>
  </si>
  <si>
    <t>1 762 493</t>
  </si>
  <si>
    <t>1 569 560</t>
  </si>
  <si>
    <t>1 190 341</t>
  </si>
  <si>
    <t>1 065 650</t>
  </si>
  <si>
    <t>5 059 839</t>
  </si>
  <si>
    <t>6 105 318</t>
  </si>
  <si>
    <t>4 792 629</t>
  </si>
  <si>
    <t>4 173 281</t>
  </si>
  <si>
    <t>5 443 482</t>
  </si>
  <si>
    <t>3 985 743</t>
  </si>
  <si>
    <t>4 156 930</t>
  </si>
  <si>
    <t>6 128 730</t>
  </si>
  <si>
    <t>735 526</t>
  </si>
  <si>
    <t>971 530</t>
  </si>
  <si>
    <t>1 998 598</t>
  </si>
  <si>
    <t>2 002 009</t>
  </si>
  <si>
    <t>1 207 425</t>
  </si>
  <si>
    <t>1 249 538</t>
  </si>
  <si>
    <t>817 098</t>
  </si>
  <si>
    <t>322 507</t>
  </si>
  <si>
    <t>12 446 272</t>
  </si>
  <si>
    <t>12 312 129</t>
  </si>
  <si>
    <t>11 765 255</t>
  </si>
  <si>
    <t>12 626 527</t>
  </si>
  <si>
    <t>10 588 453</t>
  </si>
  <si>
    <t>10 566 778</t>
  </si>
  <si>
    <t>12 973 912</t>
  </si>
  <si>
    <t>13 185 890</t>
  </si>
  <si>
    <t>752 655</t>
  </si>
  <si>
    <t>840 021</t>
  </si>
  <si>
    <t>781 431</t>
  </si>
  <si>
    <t>808 331</t>
  </si>
  <si>
    <t>534 624</t>
  </si>
  <si>
    <t>519 589</t>
  </si>
  <si>
    <t>431 848</t>
  </si>
  <si>
    <t>448 500</t>
  </si>
  <si>
    <t>100 091</t>
  </si>
  <si>
    <t>43 706</t>
  </si>
  <si>
    <t>9 987</t>
  </si>
  <si>
    <t>12 558</t>
  </si>
  <si>
    <t>40 225 462</t>
  </si>
  <si>
    <t>37 256 956</t>
  </si>
  <si>
    <t>19 778 338</t>
  </si>
  <si>
    <t>19 970 787</t>
  </si>
  <si>
    <t>285 490</t>
  </si>
  <si>
    <t>226 300</t>
  </si>
  <si>
    <t>227 815</t>
  </si>
  <si>
    <t>172 279</t>
  </si>
  <si>
    <t>64 647 557</t>
  </si>
  <si>
    <t>61 539 179</t>
  </si>
  <si>
    <t>45 740 771</t>
  </si>
  <si>
    <t>47 052 593</t>
  </si>
  <si>
    <t>221 493</t>
  </si>
  <si>
    <t>271 113</t>
  </si>
  <si>
    <t>155 943</t>
  </si>
  <si>
    <t>167 893</t>
  </si>
  <si>
    <t>3 217 893</t>
  </si>
  <si>
    <t>2 763 666</t>
  </si>
  <si>
    <t>2 397 165</t>
  </si>
  <si>
    <t>2 269 270</t>
  </si>
  <si>
    <t>4 861 003</t>
  </si>
  <si>
    <t>4 939 638</t>
  </si>
  <si>
    <t>3 821 608</t>
  </si>
  <si>
    <t>3 185 104</t>
  </si>
  <si>
    <t>9 395 323</t>
  </si>
  <si>
    <t>8 861 341</t>
  </si>
  <si>
    <t>7 728 397</t>
  </si>
  <si>
    <t>6 930 318</t>
  </si>
  <si>
    <t>20 484 722</t>
  </si>
  <si>
    <t>19 087 018</t>
  </si>
  <si>
    <t>12 721 340</t>
  </si>
  <si>
    <t>13 995 286</t>
  </si>
  <si>
    <t>1 460 573</t>
  </si>
  <si>
    <t>1 472 996</t>
  </si>
  <si>
    <t>990 559</t>
  </si>
  <si>
    <t>1 189 327</t>
  </si>
  <si>
    <t>31 340 618</t>
  </si>
  <si>
    <t>29 421 355</t>
  </si>
  <si>
    <t>21 440 296</t>
  </si>
  <si>
    <t>22 114 931</t>
  </si>
  <si>
    <t>6 309 496</t>
  </si>
  <si>
    <t>6 309 289</t>
  </si>
  <si>
    <t>13 460 921</t>
  </si>
  <si>
    <t>12 178 999</t>
  </si>
  <si>
    <t>11 029 084</t>
  </si>
  <si>
    <t>10 305 191</t>
  </si>
  <si>
    <t>-817 705</t>
  </si>
  <si>
    <t>-75 605</t>
  </si>
  <si>
    <t>266 265</t>
  </si>
  <si>
    <t>1 290 826</t>
  </si>
  <si>
    <t>-432 627</t>
  </si>
  <si>
    <t>2 909</t>
  </si>
  <si>
    <t>373 485</t>
  </si>
  <si>
    <t>1 363 546</t>
  </si>
  <si>
    <t>18 952 712</t>
  </si>
  <si>
    <t>18 412 890</t>
  </si>
  <si>
    <t>17 604 845</t>
  </si>
  <si>
    <t>17 905 306</t>
  </si>
  <si>
    <t>18 317 997</t>
  </si>
  <si>
    <t>17 849 595</t>
  </si>
  <si>
    <t>17 163 010</t>
  </si>
  <si>
    <t>17 444 248</t>
  </si>
  <si>
    <t>74 503</t>
  </si>
  <si>
    <t>76 292</t>
  </si>
  <si>
    <t>68 942</t>
  </si>
  <si>
    <t>75 882</t>
  </si>
  <si>
    <t>113 606</t>
  </si>
  <si>
    <t>-331 779</t>
  </si>
  <si>
    <t>-229 894</t>
  </si>
  <si>
    <t>-255 141</t>
  </si>
  <si>
    <t>-416 305</t>
  </si>
  <si>
    <t>651 539</t>
  </si>
  <si>
    <t>1 675 266</t>
  </si>
  <si>
    <t>735 415</t>
  </si>
  <si>
    <t>-990 564</t>
  </si>
  <si>
    <t>188 592</t>
  </si>
  <si>
    <t>570 016</t>
  </si>
  <si>
    <t>825 833</t>
  </si>
  <si>
    <t>-6 870</t>
  </si>
  <si>
    <t>-9 802</t>
  </si>
  <si>
    <t>4 440</t>
  </si>
  <si>
    <t>-13 198</t>
  </si>
  <si>
    <t>553 394</t>
  </si>
  <si>
    <t>2 166 333</t>
  </si>
  <si>
    <t>3 305 216</t>
  </si>
  <si>
    <t>2 466 645</t>
  </si>
  <si>
    <t>-89 348</t>
  </si>
  <si>
    <t>-51 025</t>
  </si>
  <si>
    <t>-3 807</t>
  </si>
  <si>
    <t>-360 260</t>
  </si>
  <si>
    <t>1 415</t>
  </si>
  <si>
    <t>872 375</t>
  </si>
  <si>
    <t>96 109</t>
  </si>
  <si>
    <t>939 048</t>
  </si>
  <si>
    <t>730 021</t>
  </si>
  <si>
    <t>-1 355 604</t>
  </si>
  <si>
    <t>-1 770 052</t>
  </si>
  <si>
    <t>-71 377</t>
  </si>
  <si>
    <t>154 077</t>
  </si>
  <si>
    <t>-504 087</t>
  </si>
  <si>
    <t>-424 714</t>
  </si>
  <si>
    <t>-383 034</t>
  </si>
  <si>
    <t>-384 068</t>
  </si>
  <si>
    <t>1 603 833</t>
  </si>
  <si>
    <t>1 689 553</t>
  </si>
  <si>
    <t>-1 019 223</t>
  </si>
  <si>
    <t>-278 307</t>
  </si>
  <si>
    <t>-975 027</t>
  </si>
  <si>
    <t>-285 536</t>
  </si>
  <si>
    <t>-1 002 885</t>
  </si>
  <si>
    <t>-499 976</t>
  </si>
  <si>
    <t>-217 106</t>
  </si>
  <si>
    <t>979 303</t>
  </si>
  <si>
    <t>-2 461 876</t>
  </si>
  <si>
    <t>-1 213 123</t>
  </si>
  <si>
    <t>-59 779</t>
  </si>
  <si>
    <t>-46 662</t>
  </si>
  <si>
    <t>-128 634</t>
  </si>
  <si>
    <t>39 629</t>
  </si>
  <si>
    <t>-1 079 095</t>
  </si>
  <si>
    <t>1 328 922</t>
  </si>
  <si>
    <t>643 329</t>
  </si>
  <si>
    <t>1 447 228</t>
  </si>
  <si>
    <t>Amazon.com, Inc. engages in the retail sale of consumer products and subscriptions in North America and internationally. The company operates through three segments: North America, International, and Amazon Web Services (AWS) segments. It sells merchandise and content purchased for resale from third-party sellers through physical stores and online stores. The company also manufactures and sells electronic devices, including Kindle e-readers, Fire tablets, Fire TVs, and Echo devices; provides Kindle Direct Publishing, an online service that allows independent authors and publishers to make their books available in the Kindle Store; and develops and produces media content. In addition, it offers programs that enable sellers to sell their products on its Websites, as well as their own branded Websites; and programs that allow authors, musicians, filmmakers, skill and app developers, and others to publish and sell content. Further, the company provides compute, storage, database, and other AWS services, as well as compute, storage, database offerings, fulfillment, publishing, digital content subscriptions, advertising, and co-branded credit card agreement services. Additionally, it offers Amazon Prime, a membership program, which provides free shipping of various items; access to streaming of movies and TV episodes; and other services. It serves consumers, sellers, developers, enterprises, and content creators. Amazon.com, Inc. has a strategic partnership with Volkswagen AG. The company was founded in 1994 and is headquartered in Seattle, Washington.</t>
  </si>
  <si>
    <t>Amazon.com, Inc. (AMZN)</t>
  </si>
  <si>
    <t>Currency in USD</t>
  </si>
  <si>
    <t>910.523B</t>
  </si>
  <si>
    <t>1,307.00 - 2,035.80</t>
  </si>
  <si>
    <t>232 887 000</t>
  </si>
  <si>
    <t>177 866 000</t>
  </si>
  <si>
    <t>135 987 000</t>
  </si>
  <si>
    <t>107 006 000</t>
  </si>
  <si>
    <t>139 156 000</t>
  </si>
  <si>
    <t>111 934 000</t>
  </si>
  <si>
    <t>88 265 000</t>
  </si>
  <si>
    <t>71 651 000</t>
  </si>
  <si>
    <t>93 731 000</t>
  </si>
  <si>
    <t>65 932 000</t>
  </si>
  <si>
    <t>47 722 000</t>
  </si>
  <si>
    <t>35 355 000</t>
  </si>
  <si>
    <t>28 837 000</t>
  </si>
  <si>
    <t>22 620 000</t>
  </si>
  <si>
    <t>16 085 000</t>
  </si>
  <si>
    <t>12 540 000</t>
  </si>
  <si>
    <t>52 177 000</t>
  </si>
  <si>
    <t>38 992 000</t>
  </si>
  <si>
    <t>27 284 000</t>
  </si>
  <si>
    <t>20 411 000</t>
  </si>
  <si>
    <t>296 000</t>
  </si>
  <si>
    <t>214 000</t>
  </si>
  <si>
    <t>167 000</t>
  </si>
  <si>
    <t>171 000</t>
  </si>
  <si>
    <t>220 466 000</t>
  </si>
  <si>
    <t>173 760 000</t>
  </si>
  <si>
    <t>131 801 000</t>
  </si>
  <si>
    <t>104 773 000</t>
  </si>
  <si>
    <t>12 421 000</t>
  </si>
  <si>
    <t>4 106 000</t>
  </si>
  <si>
    <t>4 186 000</t>
  </si>
  <si>
    <t>2 233 000</t>
  </si>
  <si>
    <t>-1 151 000</t>
  </si>
  <si>
    <t>-304 000</t>
  </si>
  <si>
    <t>-390 000</t>
  </si>
  <si>
    <t>-687 000</t>
  </si>
  <si>
    <t>-1 417 000</t>
  </si>
  <si>
    <t>-848 000</t>
  </si>
  <si>
    <t>-484 000</t>
  </si>
  <si>
    <t>-459 000</t>
  </si>
  <si>
    <t>11 270 000</t>
  </si>
  <si>
    <t>3 802 000</t>
  </si>
  <si>
    <t>3 796 000</t>
  </si>
  <si>
    <t>1 546 000</t>
  </si>
  <si>
    <t>1 197 000</t>
  </si>
  <si>
    <t>769 000</t>
  </si>
  <si>
    <t>1 425 000</t>
  </si>
  <si>
    <t>950 000</t>
  </si>
  <si>
    <t>10 073 000</t>
  </si>
  <si>
    <t>3 033 000</t>
  </si>
  <si>
    <t>2 371 000</t>
  </si>
  <si>
    <t>596 000</t>
  </si>
  <si>
    <t>31 750 000</t>
  </si>
  <si>
    <t>20 522 000</t>
  </si>
  <si>
    <t>19 334 000</t>
  </si>
  <si>
    <t>15 890 000</t>
  </si>
  <si>
    <t>9 500 000</t>
  </si>
  <si>
    <t>10 464 000</t>
  </si>
  <si>
    <t>6 647 000</t>
  </si>
  <si>
    <t>3 918 000</t>
  </si>
  <si>
    <t>16 259 000</t>
  </si>
  <si>
    <t>11 835 000</t>
  </si>
  <si>
    <t>8 339 000</t>
  </si>
  <si>
    <t>5 654 000</t>
  </si>
  <si>
    <t>17 174 000</t>
  </si>
  <si>
    <t>16 047 000</t>
  </si>
  <si>
    <t>11 461 000</t>
  </si>
  <si>
    <t>10 243 000</t>
  </si>
  <si>
    <t>418 000</t>
  </si>
  <si>
    <t>1 329 000</t>
  </si>
  <si>
    <t>75 101 000</t>
  </si>
  <si>
    <t>60 197 000</t>
  </si>
  <si>
    <t>45 781 000</t>
  </si>
  <si>
    <t>35 705 000</t>
  </si>
  <si>
    <t>440 000</t>
  </si>
  <si>
    <t>441 000</t>
  </si>
  <si>
    <t>223 000</t>
  </si>
  <si>
    <t>16 000</t>
  </si>
  <si>
    <t>61 797 000</t>
  </si>
  <si>
    <t>48 866 000</t>
  </si>
  <si>
    <t>29 114 000</t>
  </si>
  <si>
    <t>21 838 000</t>
  </si>
  <si>
    <t>14 548 000</t>
  </si>
  <si>
    <t>13 350 000</t>
  </si>
  <si>
    <t>3 784 000</t>
  </si>
  <si>
    <t>3 759 000</t>
  </si>
  <si>
    <t>4 110 000</t>
  </si>
  <si>
    <t>3 371 000</t>
  </si>
  <si>
    <t>854 000</t>
  </si>
  <si>
    <t>992 000</t>
  </si>
  <si>
    <t>6 652 000</t>
  </si>
  <si>
    <t>5 085 000</t>
  </si>
  <si>
    <t>3 646 000</t>
  </si>
  <si>
    <t>2 437 000</t>
  </si>
  <si>
    <t>162 648 000</t>
  </si>
  <si>
    <t>131 310 000</t>
  </si>
  <si>
    <t>83 402 000</t>
  </si>
  <si>
    <t>64 747 000</t>
  </si>
  <si>
    <t>38 192 000</t>
  </si>
  <si>
    <t>34 616 000</t>
  </si>
  <si>
    <t>25 309 000</t>
  </si>
  <si>
    <t>20 397 000</t>
  </si>
  <si>
    <t>1 371 000</t>
  </si>
  <si>
    <t>100 000</t>
  </si>
  <si>
    <t>1 056 000</t>
  </si>
  <si>
    <t>238 000</t>
  </si>
  <si>
    <t>9 959 000</t>
  </si>
  <si>
    <t>8 565 000</t>
  </si>
  <si>
    <t>7 168 000</t>
  </si>
  <si>
    <t>5 118 000</t>
  </si>
  <si>
    <t>68 391 000</t>
  </si>
  <si>
    <t>57 883 000</t>
  </si>
  <si>
    <t>43 816 000</t>
  </si>
  <si>
    <t>33 887 000</t>
  </si>
  <si>
    <t>23 495 000</t>
  </si>
  <si>
    <t>24 743 000</t>
  </si>
  <si>
    <t>7 694 000</t>
  </si>
  <si>
    <t>8 227 000</t>
  </si>
  <si>
    <t>10 921 000</t>
  </si>
  <si>
    <t>7 792 000</t>
  </si>
  <si>
    <t>5 088 000</t>
  </si>
  <si>
    <t>3 301 000</t>
  </si>
  <si>
    <t>119 099 000</t>
  </si>
  <si>
    <t>103 601 000</t>
  </si>
  <si>
    <t>64 117 000</t>
  </si>
  <si>
    <t>51 363 000</t>
  </si>
  <si>
    <t>5 000</t>
  </si>
  <si>
    <t>19 625 000</t>
  </si>
  <si>
    <t>8 636 000</t>
  </si>
  <si>
    <t>4 916 000</t>
  </si>
  <si>
    <t>2 545 000</t>
  </si>
  <si>
    <t>-2 872 000</t>
  </si>
  <si>
    <t>-2 321 000</t>
  </si>
  <si>
    <t>-2 822 000</t>
  </si>
  <si>
    <t>-2 560 000</t>
  </si>
  <si>
    <t>26 791 000</t>
  </si>
  <si>
    <t>21 389 000</t>
  </si>
  <si>
    <t>17 186 000</t>
  </si>
  <si>
    <t>13 394 000</t>
  </si>
  <si>
    <t>-1 035 000</t>
  </si>
  <si>
    <t>-985 000</t>
  </si>
  <si>
    <t>-723 000</t>
  </si>
  <si>
    <t>43 549 000</t>
  </si>
  <si>
    <t>27 709 000</t>
  </si>
  <si>
    <t>19 285 000</t>
  </si>
  <si>
    <t>13 384 000</t>
  </si>
  <si>
    <t>24 891 000</t>
  </si>
  <si>
    <t>10 988 000</t>
  </si>
  <si>
    <t>14 647 000</t>
  </si>
  <si>
    <t>8 633 000</t>
  </si>
  <si>
    <t>15 341 000</t>
  </si>
  <si>
    <t>11 478 000</t>
  </si>
  <si>
    <t>8 116 000</t>
  </si>
  <si>
    <t>5 646 000</t>
  </si>
  <si>
    <t>6 352 000</t>
  </si>
  <si>
    <t>4 096 000</t>
  </si>
  <si>
    <t>2 869 000</t>
  </si>
  <si>
    <t>2 605 000</t>
  </si>
  <si>
    <t>-4 615 000</t>
  </si>
  <si>
    <t>-4 780 000</t>
  </si>
  <si>
    <t>-3 436 000</t>
  </si>
  <si>
    <t>-1 755 000</t>
  </si>
  <si>
    <t>4 414 000</t>
  </si>
  <si>
    <t>7 838 000</t>
  </si>
  <si>
    <t>6 985 000</t>
  </si>
  <si>
    <t>5 586 000</t>
  </si>
  <si>
    <t>-1 314 000</t>
  </si>
  <si>
    <t>-3 583 000</t>
  </si>
  <si>
    <t>-1 426 000</t>
  </si>
  <si>
    <t>-2 187 000</t>
  </si>
  <si>
    <t>472 000</t>
  </si>
  <si>
    <t>283 000</t>
  </si>
  <si>
    <t>1 724 000</t>
  </si>
  <si>
    <t>913 000</t>
  </si>
  <si>
    <t>30 723 000</t>
  </si>
  <si>
    <t>18 365 000</t>
  </si>
  <si>
    <t>17 203 000</t>
  </si>
  <si>
    <t>12 039 000</t>
  </si>
  <si>
    <t>-13 427 000</t>
  </si>
  <si>
    <t>-11 955 000</t>
  </si>
  <si>
    <t>-7 804 000</t>
  </si>
  <si>
    <t>-5 387 000</t>
  </si>
  <si>
    <t>1 140 000</t>
  </si>
  <si>
    <t>-3 054 000</t>
  </si>
  <si>
    <t>-2 663 000</t>
  </si>
  <si>
    <t>-1 066 000</t>
  </si>
  <si>
    <t>2 104 000</t>
  </si>
  <si>
    <t>1 897 000</t>
  </si>
  <si>
    <t>1 067 000</t>
  </si>
  <si>
    <t>798 000</t>
  </si>
  <si>
    <t>-12 369 000</t>
  </si>
  <si>
    <t>-27 084 000</t>
  </si>
  <si>
    <t>-9 516 000</t>
  </si>
  <si>
    <t>-6 450 000</t>
  </si>
  <si>
    <t>-7 686 000</t>
  </si>
  <si>
    <t>9 928 000</t>
  </si>
  <si>
    <t>-3 716 000</t>
  </si>
  <si>
    <t>-3 882 000</t>
  </si>
  <si>
    <t>-351 000</t>
  </si>
  <si>
    <t>713 000</t>
  </si>
  <si>
    <t>-212 000</t>
  </si>
  <si>
    <t>-374 000</t>
  </si>
  <si>
    <t>10 317 000</t>
  </si>
  <si>
    <t>1 922 000</t>
  </si>
  <si>
    <t>1 333 000</t>
  </si>
  <si>
    <t>Clearbridge Health Limited, an investment holding company, operates as a healthcare company in Singapore, the Philippines, Indonesia, Hong Kong, Malaysia, and internationally. It offers laboratory testing services comprising clinical diagnostics, such as health screening and management, cancer diagnosis, biomarker diagnostics, and treatment monitoring and prognosis; and lifestyle and wellness management services. The company also owns and operates medical clinics/centers; and invests in precision medical technology companies. In addition, it engages in the manufacturing of optical instrument and photographic equipment; biotechnology and life sciences business; provision of critical care medical services; and distribution of medical devices, as well as provides management consultancy for healthcare organization. The company was founded in 2010 and is headquartered in Singapore.</t>
  </si>
  <si>
    <t>Clearbridge Health Limited (1H3.SI)</t>
  </si>
  <si>
    <t>81.488M</t>
  </si>
  <si>
    <t>0.1370 - 0.3000</t>
  </si>
  <si>
    <t>6 135</t>
  </si>
  <si>
    <t>288</t>
  </si>
  <si>
    <t>123</t>
  </si>
  <si>
    <t>128</t>
  </si>
  <si>
    <t>3 250</t>
  </si>
  <si>
    <t>241</t>
  </si>
  <si>
    <t>2 885</t>
  </si>
  <si>
    <t>47</t>
  </si>
  <si>
    <t>120</t>
  </si>
  <si>
    <t>77</t>
  </si>
  <si>
    <t>202</t>
  </si>
  <si>
    <t>332</t>
  </si>
  <si>
    <t>283</t>
  </si>
  <si>
    <t>7 415</t>
  </si>
  <si>
    <t>3 499</t>
  </si>
  <si>
    <t>3 782</t>
  </si>
  <si>
    <t>2 485</t>
  </si>
  <si>
    <t>3 542</t>
  </si>
  <si>
    <t>4 908</t>
  </si>
  <si>
    <t>2 051</t>
  </si>
  <si>
    <t>1 132</t>
  </si>
  <si>
    <t>15 326</t>
  </si>
  <si>
    <t>8 961</t>
  </si>
  <si>
    <t>6 273</t>
  </si>
  <si>
    <t>3 995</t>
  </si>
  <si>
    <t>-9 191</t>
  </si>
  <si>
    <t>-8 673</t>
  </si>
  <si>
    <t>-6 150</t>
  </si>
  <si>
    <t>-3 866</t>
  </si>
  <si>
    <t>-9 536</t>
  </si>
  <si>
    <t>-2 233</t>
  </si>
  <si>
    <t>3 941</t>
  </si>
  <si>
    <t>9 933</t>
  </si>
  <si>
    <t>-329</t>
  </si>
  <si>
    <t>-250</t>
  </si>
  <si>
    <t>-193</t>
  </si>
  <si>
    <t>-258</t>
  </si>
  <si>
    <t>-18 727</t>
  </si>
  <si>
    <t>-10 906</t>
  </si>
  <si>
    <t>-2 209</t>
  </si>
  <si>
    <t>6 067</t>
  </si>
  <si>
    <t>158</t>
  </si>
  <si>
    <t>-2 981</t>
  </si>
  <si>
    <t>1 534</t>
  </si>
  <si>
    <t>-1 297</t>
  </si>
  <si>
    <t>-852</t>
  </si>
  <si>
    <t>240</t>
  </si>
  <si>
    <t>-18 448</t>
  </si>
  <si>
    <t>-7 470</t>
  </si>
  <si>
    <t>-1 951</t>
  </si>
  <si>
    <t>4 721</t>
  </si>
  <si>
    <t>4 233</t>
  </si>
  <si>
    <t>27 740</t>
  </si>
  <si>
    <t>4 308</t>
  </si>
  <si>
    <t>2 695</t>
  </si>
  <si>
    <t>3 975</t>
  </si>
  <si>
    <t>537</t>
  </si>
  <si>
    <t>13</t>
  </si>
  <si>
    <t>5 302</t>
  </si>
  <si>
    <t>476</t>
  </si>
  <si>
    <t>585</t>
  </si>
  <si>
    <t>83</t>
  </si>
  <si>
    <t>413</t>
  </si>
  <si>
    <t>66</t>
  </si>
  <si>
    <t>14 697</t>
  </si>
  <si>
    <t>32 644</t>
  </si>
  <si>
    <t>4 905</t>
  </si>
  <si>
    <t>4 838</t>
  </si>
  <si>
    <t>15 090</t>
  </si>
  <si>
    <t>35 194</t>
  </si>
  <si>
    <t>28 472</t>
  </si>
  <si>
    <t>6 625</t>
  </si>
  <si>
    <t>2 597</t>
  </si>
  <si>
    <t>48</t>
  </si>
  <si>
    <t>53</t>
  </si>
  <si>
    <t>22 296</t>
  </si>
  <si>
    <t>11 002</t>
  </si>
  <si>
    <t>61</t>
  </si>
  <si>
    <t>266</t>
  </si>
  <si>
    <t>3 788</t>
  </si>
  <si>
    <t>5 907</t>
  </si>
  <si>
    <t>6 429</t>
  </si>
  <si>
    <t>6 305</t>
  </si>
  <si>
    <t>62 762</t>
  </si>
  <si>
    <t>68 793</t>
  </si>
  <si>
    <t>46 671</t>
  </si>
  <si>
    <t>39 856</t>
  </si>
  <si>
    <t>1 007</t>
  </si>
  <si>
    <t>183</t>
  </si>
  <si>
    <t>69</t>
  </si>
  <si>
    <t>4</t>
  </si>
  <si>
    <t>414</t>
  </si>
  <si>
    <t>7 137</t>
  </si>
  <si>
    <t>4 694</t>
  </si>
  <si>
    <t>3 763</t>
  </si>
  <si>
    <t>2 010</t>
  </si>
  <si>
    <t>9 218</t>
  </si>
  <si>
    <t>5 732</t>
  </si>
  <si>
    <t>4 294</t>
  </si>
  <si>
    <t>2 651</t>
  </si>
  <si>
    <t>2 201</t>
  </si>
  <si>
    <t>1 632</t>
  </si>
  <si>
    <t>502</t>
  </si>
  <si>
    <t>3 595</t>
  </si>
  <si>
    <t>1 786</t>
  </si>
  <si>
    <t>4 748</t>
  </si>
  <si>
    <t>4 024</t>
  </si>
  <si>
    <t>1 249</t>
  </si>
  <si>
    <t>15 232</t>
  </si>
  <si>
    <t>9 150</t>
  </si>
  <si>
    <t>9 042</t>
  </si>
  <si>
    <t>7 178</t>
  </si>
  <si>
    <t>77 670</t>
  </si>
  <si>
    <t>73 897</t>
  </si>
  <si>
    <t>3 846</t>
  </si>
  <si>
    <t>-30 041</t>
  </si>
  <si>
    <t>-10 858</t>
  </si>
  <si>
    <t>6 245</t>
  </si>
  <si>
    <t>11 732</t>
  </si>
  <si>
    <t>-2 099</t>
  </si>
  <si>
    <t>3 741</t>
  </si>
  <si>
    <t>1 212</t>
  </si>
  <si>
    <t>47 676</t>
  </si>
  <si>
    <t>60 940</t>
  </si>
  <si>
    <t>13 832</t>
  </si>
  <si>
    <t>16 791</t>
  </si>
  <si>
    <t>25 114</t>
  </si>
  <si>
    <t>49 832</t>
  </si>
  <si>
    <t>13 737</t>
  </si>
  <si>
    <t>16 602</t>
  </si>
  <si>
    <t>1 099</t>
  </si>
  <si>
    <t>111</t>
  </si>
  <si>
    <t>43</t>
  </si>
  <si>
    <t>8 893</t>
  </si>
  <si>
    <t>-791</t>
  </si>
  <si>
    <t>-4 747</t>
  </si>
  <si>
    <t>-8 034</t>
  </si>
  <si>
    <t>-912</t>
  </si>
  <si>
    <t>-44</t>
  </si>
  <si>
    <t>-21</t>
  </si>
  <si>
    <t>-2</t>
  </si>
  <si>
    <t>449</t>
  </si>
  <si>
    <t>-85</t>
  </si>
  <si>
    <t>577</t>
  </si>
  <si>
    <t>-147</t>
  </si>
  <si>
    <t>-157</t>
  </si>
  <si>
    <t>-50</t>
  </si>
  <si>
    <t>-1 137</t>
  </si>
  <si>
    <t>539</t>
  </si>
  <si>
    <t>-10 213</t>
  </si>
  <si>
    <t>-6 766</t>
  </si>
  <si>
    <t>-5 754</t>
  </si>
  <si>
    <t>-2 881</t>
  </si>
  <si>
    <t>-1 676</t>
  </si>
  <si>
    <t>-2 560</t>
  </si>
  <si>
    <t>-208</t>
  </si>
  <si>
    <t>-749</t>
  </si>
  <si>
    <t>-13</t>
  </si>
  <si>
    <t>-1 418</t>
  </si>
  <si>
    <t>-1 250</t>
  </si>
  <si>
    <t>-10 250</t>
  </si>
  <si>
    <t>8 062</t>
  </si>
  <si>
    <t>-3 190</t>
  </si>
  <si>
    <t>-3 337</t>
  </si>
  <si>
    <t>943</t>
  </si>
  <si>
    <t>1 637</t>
  </si>
  <si>
    <t>2 000</t>
  </si>
  <si>
    <t>1 171</t>
  </si>
  <si>
    <t>-235</t>
  </si>
  <si>
    <t>-4 190</t>
  </si>
  <si>
    <t>-411</t>
  </si>
  <si>
    <t>325</t>
  </si>
  <si>
    <t>708</t>
  </si>
  <si>
    <t>22 087</t>
  </si>
  <si>
    <t>10 589</t>
  </si>
  <si>
    <t>7 496</t>
  </si>
  <si>
    <t>-215</t>
  </si>
  <si>
    <t>49</t>
  </si>
  <si>
    <t>-32</t>
  </si>
  <si>
    <t>-19 970</t>
  </si>
  <si>
    <t>23 432</t>
  </si>
  <si>
    <t>1 613</t>
  </si>
  <si>
    <t>1 280</t>
  </si>
  <si>
    <t>Xvivo Perfusion AB (publ), a medical technology company, provides solutions for organ, tissue, and cell preservation and perfusion in connection with transplantation. The company offers XVIVO Perfusion System (XPS), an integrated off-the-shelf cardiac bypass system that includes various components needed to safely run normothermic ex-vivo lung perfusion (EVLP); XPS Disposable Lung Kit that contains disposables and pre-packed products to suit requirement for sterility; and STEEN Solution, a buffered extracellular solution optimally designed to perfuse the isolated donor lung during EVLP. It also provides Perfadex, a buffered extracellular colloid-based electrolyte preservation solution; Perfadex Plus, an extracellular, low potassium, dextran-based electrolyte preservation solution; XVIVO Silicone Tubing Set for rapid flushing of donor lungs during procurement; and XVIVO LS and XVIVO Disposable Lung Set, a device for EVLP. In addition, the company offers XVIVO Organ Chamber, a single-use sterile disposable container intended to be used as a temporary receptacle for isolated lungs in preparation for eventual transplantation into a recipient; and XVIVO Lung Cannula Set, a single-use, sterile disposable product. Xvivo Perfusion AB (publ) was founded in 1998 and is headquartered in Gothenburg, Sweden.</t>
  </si>
  <si>
    <t>Xvivo Perfusion AB (publ) (XVIVO.ST)</t>
  </si>
  <si>
    <t>Currency in SEK</t>
  </si>
  <si>
    <t>4.903B</t>
  </si>
  <si>
    <t>119.80 - 204.00</t>
  </si>
  <si>
    <t>187 868</t>
  </si>
  <si>
    <t>148 342</t>
  </si>
  <si>
    <t>138 177</t>
  </si>
  <si>
    <t>120 245</t>
  </si>
  <si>
    <t>51 915</t>
  </si>
  <si>
    <t>34 946</t>
  </si>
  <si>
    <t>35 942</t>
  </si>
  <si>
    <t>35 285</t>
  </si>
  <si>
    <t>135 953</t>
  </si>
  <si>
    <t>113 396</t>
  </si>
  <si>
    <t>102 235</t>
  </si>
  <si>
    <t>84 960</t>
  </si>
  <si>
    <t>47 931</t>
  </si>
  <si>
    <t>39 469</t>
  </si>
  <si>
    <t>36 670</t>
  </si>
  <si>
    <t>31 086</t>
  </si>
  <si>
    <t>70 467</t>
  </si>
  <si>
    <t>63 747</t>
  </si>
  <si>
    <t>55 697</t>
  </si>
  <si>
    <t>45 206</t>
  </si>
  <si>
    <t>4 075</t>
  </si>
  <si>
    <t>2 881</t>
  </si>
  <si>
    <t>2 037</t>
  </si>
  <si>
    <t>174 388</t>
  </si>
  <si>
    <t>141 043</t>
  </si>
  <si>
    <t>130 346</t>
  </si>
  <si>
    <t>112 114</t>
  </si>
  <si>
    <t>13 480</t>
  </si>
  <si>
    <t>7 299</t>
  </si>
  <si>
    <t>7 831</t>
  </si>
  <si>
    <t>8 131</t>
  </si>
  <si>
    <t>4 018</t>
  </si>
  <si>
    <t>153</t>
  </si>
  <si>
    <t>-4 838</t>
  </si>
  <si>
    <t>-733</t>
  </si>
  <si>
    <t>-128</t>
  </si>
  <si>
    <t>-108</t>
  </si>
  <si>
    <t>-101</t>
  </si>
  <si>
    <t>-100</t>
  </si>
  <si>
    <t>17 498</t>
  </si>
  <si>
    <t>7 452</t>
  </si>
  <si>
    <t>2 993</t>
  </si>
  <si>
    <t>7 398</t>
  </si>
  <si>
    <t>4 813</t>
  </si>
  <si>
    <t>1 492</t>
  </si>
  <si>
    <t>2 267</t>
  </si>
  <si>
    <t>12 685</t>
  </si>
  <si>
    <t>6 260</t>
  </si>
  <si>
    <t>1 501</t>
  </si>
  <si>
    <t>5 131</t>
  </si>
  <si>
    <t>187 064</t>
  </si>
  <si>
    <t>195 322</t>
  </si>
  <si>
    <t>24 871</t>
  </si>
  <si>
    <t>41 234</t>
  </si>
  <si>
    <t>46 925</t>
  </si>
  <si>
    <t>30 772</t>
  </si>
  <si>
    <t>32 100</t>
  </si>
  <si>
    <t>20 984</t>
  </si>
  <si>
    <t>36 387</t>
  </si>
  <si>
    <t>30 703</t>
  </si>
  <si>
    <t>34 551</t>
  </si>
  <si>
    <t>28 598</t>
  </si>
  <si>
    <t>277 680</t>
  </si>
  <si>
    <t>264 622</t>
  </si>
  <si>
    <t>98 865</t>
  </si>
  <si>
    <t>95 635</t>
  </si>
  <si>
    <t>71</t>
  </si>
  <si>
    <t>15 615</t>
  </si>
  <si>
    <t>15 166</t>
  </si>
  <si>
    <t>7 123</t>
  </si>
  <si>
    <t>65 614</t>
  </si>
  <si>
    <t>65 273</t>
  </si>
  <si>
    <t>65 672</t>
  </si>
  <si>
    <t>3 849</t>
  </si>
  <si>
    <t>3 624</t>
  </si>
  <si>
    <t>3 472</t>
  </si>
  <si>
    <t>2 966</t>
  </si>
  <si>
    <t>224 008</t>
  </si>
  <si>
    <t>188 825</t>
  </si>
  <si>
    <t>167 450</t>
  </si>
  <si>
    <t>96 284</t>
  </si>
  <si>
    <t>13 548</t>
  </si>
  <si>
    <t>15 395</t>
  </si>
  <si>
    <t>12 281</t>
  </si>
  <si>
    <t>4 487</t>
  </si>
  <si>
    <t>586 612</t>
  </si>
  <si>
    <t>538 540</t>
  </si>
  <si>
    <t>350 119</t>
  </si>
  <si>
    <t>204 180</t>
  </si>
  <si>
    <t>16 333</t>
  </si>
  <si>
    <t>11 121</t>
  </si>
  <si>
    <t>12 563</t>
  </si>
  <si>
    <t>3 650</t>
  </si>
  <si>
    <t>3 756</t>
  </si>
  <si>
    <t>1 276</t>
  </si>
  <si>
    <t>439</t>
  </si>
  <si>
    <t>2 009</t>
  </si>
  <si>
    <t>42 573</t>
  </si>
  <si>
    <t>30 896</t>
  </si>
  <si>
    <t>30 599</t>
  </si>
  <si>
    <t>15 581</t>
  </si>
  <si>
    <t>3 312</t>
  </si>
  <si>
    <t>3 044</t>
  </si>
  <si>
    <t>3 725</t>
  </si>
  <si>
    <t>210 460</t>
  </si>
  <si>
    <t>173 430</t>
  </si>
  <si>
    <t>155 169</t>
  </si>
  <si>
    <t>91 797</t>
  </si>
  <si>
    <t>46 135</t>
  </si>
  <si>
    <t>34 208</t>
  </si>
  <si>
    <t>33 643</t>
  </si>
  <si>
    <t>19 306</t>
  </si>
  <si>
    <t>675</t>
  </si>
  <si>
    <t>670</t>
  </si>
  <si>
    <t>604</t>
  </si>
  <si>
    <t>550</t>
  </si>
  <si>
    <t>39 921</t>
  </si>
  <si>
    <t>27 383</t>
  </si>
  <si>
    <t>21 641</t>
  </si>
  <si>
    <t>20 617</t>
  </si>
  <si>
    <t>13 021</t>
  </si>
  <si>
    <t>8 618</t>
  </si>
  <si>
    <t>13 341</t>
  </si>
  <si>
    <t>9 140</t>
  </si>
  <si>
    <t>486 860</t>
  </si>
  <si>
    <t>467 661</t>
  </si>
  <si>
    <t>280 890</t>
  </si>
  <si>
    <t>154 567</t>
  </si>
  <si>
    <t>540 477</t>
  </si>
  <si>
    <t>504 332</t>
  </si>
  <si>
    <t>316 476</t>
  </si>
  <si>
    <t>184 874</t>
  </si>
  <si>
    <t>471 239</t>
  </si>
  <si>
    <t>435 587</t>
  </si>
  <si>
    <t>247 838</t>
  </si>
  <si>
    <t>179 736</t>
  </si>
  <si>
    <t>6 766</t>
  </si>
  <si>
    <t>5 038</t>
  </si>
  <si>
    <t>1 615</t>
  </si>
  <si>
    <t>4 588</t>
  </si>
  <si>
    <t>-3 203</t>
  </si>
  <si>
    <t>-1 527</t>
  </si>
  <si>
    <t>-1 230</t>
  </si>
  <si>
    <t>-17 380</t>
  </si>
  <si>
    <t>-1 013</t>
  </si>
  <si>
    <t>-8 219</t>
  </si>
  <si>
    <t>-6 025</t>
  </si>
  <si>
    <t>-2 976</t>
  </si>
  <si>
    <t>822</t>
  </si>
  <si>
    <t>-2 379</t>
  </si>
  <si>
    <t>-1 130</t>
  </si>
  <si>
    <t>9 786</t>
  </si>
  <si>
    <t>4 403</t>
  </si>
  <si>
    <t>9 956</t>
  </si>
  <si>
    <t>263</t>
  </si>
  <si>
    <t>23 627</t>
  </si>
  <si>
    <t>22 190</t>
  </si>
  <si>
    <t>12 550</t>
  </si>
  <si>
    <t>8 578</t>
  </si>
  <si>
    <t>-6 662</t>
  </si>
  <si>
    <t>-5 624</t>
  </si>
  <si>
    <t>-8 614</t>
  </si>
  <si>
    <t>-7 112</t>
  </si>
  <si>
    <t>-71</t>
  </si>
  <si>
    <t>-1 081</t>
  </si>
  <si>
    <t>-53 198</t>
  </si>
  <si>
    <t>-35 523</t>
  </si>
  <si>
    <t>-29 725</t>
  </si>
  <si>
    <t>-14 290</t>
  </si>
  <si>
    <t>78</t>
  </si>
  <si>
    <t>347</t>
  </si>
  <si>
    <t>244</t>
  </si>
  <si>
    <t>-1 468</t>
  </si>
  <si>
    <t>19 204</t>
  </si>
  <si>
    <t>184 798</t>
  </si>
  <si>
    <t>2 109</t>
  </si>
  <si>
    <t>-1 015</t>
  </si>
  <si>
    <t>568</t>
  </si>
  <si>
    <t>211</t>
  </si>
  <si>
    <t>-8 258</t>
  </si>
  <si>
    <t>170 450</t>
  </si>
  <si>
    <t>-16 363</t>
  </si>
  <si>
    <t>-6 969</t>
  </si>
  <si>
    <t>MSFT</t>
  </si>
  <si>
    <t>Microsoft Corporation develops, licenses, and supports software, services, devices, and solutions worldwide. The company's Productivity and Business Processes segment offers Office, Exchange, SharePoint, Microsoft Teams, Office 365 Security and Compliance, and Skype for Business, as well as related Client Access Licenses (CAL); and Skype, Outlook.com, and OneDrive. It also provides LinkedIn that includes Talent and marketing solutions, and subscriptions; and Dynamics 365, a set of cloud-based and on-premises business solutions for small and medium businesses, large organizations, and divisions of enterprises. The company's Intelligent Cloud segment licenses SQL and Windows Servers, Visual Studio, System Center, and related CALs; GitHub that provides a collaboration platform and code hosting service for developers; and Azure, a cloud platform. It also provides support services and Microsoft consulting services to assist customers in developing, deploying, and managing Microsoft server and desktop solutions; and training and certification to developers and IT professionals on various Microsoft products. The company's More Personal Computing segment offers Windows OEM licensing and other non-volume licensing of the Windows operating system; Windows Commercial comprising volume licensing of the Windows operating system, Windows cloud services, and other Windows commercial offerings; patent licensing; Windows Internet of Things; and MSN advertising. It also provides Microsoft Surface, PC accessories, and other intelligent devices; Gaming, including Xbox hardware, and Xbox software and services comprising Xbox Live transactions, subscriptions, cloud services, and advertising; and video games and third-party video game royalties, as well as Search, including Bing and Microsoft advertising. Microsoft Corporation was founded in 1975 and is headquartered in Redmond, Washington.</t>
  </si>
  <si>
    <t>Microsoft Corporation (MSFT)</t>
  </si>
  <si>
    <t>1.065T</t>
  </si>
  <si>
    <t>93.96 - 142.37</t>
  </si>
  <si>
    <t>125 843 000</t>
  </si>
  <si>
    <t>110 360 000</t>
  </si>
  <si>
    <t>96 571 000</t>
  </si>
  <si>
    <t>91 154 000</t>
  </si>
  <si>
    <t>42 910 000</t>
  </si>
  <si>
    <t>38 353 000</t>
  </si>
  <si>
    <t>34 261 000</t>
  </si>
  <si>
    <t>32 780 000</t>
  </si>
  <si>
    <t>82 933 000</t>
  </si>
  <si>
    <t>72 007 000</t>
  </si>
  <si>
    <t>62 310 000</t>
  </si>
  <si>
    <t>58 374 000</t>
  </si>
  <si>
    <t>16 876 000</t>
  </si>
  <si>
    <t>14 726 000</t>
  </si>
  <si>
    <t>13 037 000</t>
  </si>
  <si>
    <t>11 988 000</t>
  </si>
  <si>
    <t>23 098 000</t>
  </si>
  <si>
    <t>22 223 000</t>
  </si>
  <si>
    <t>19 942 000</t>
  </si>
  <si>
    <t>19 198 000</t>
  </si>
  <si>
    <t>82 884 000</t>
  </si>
  <si>
    <t>75 302 000</t>
  </si>
  <si>
    <t>67 240 000</t>
  </si>
  <si>
    <t>63 966 000</t>
  </si>
  <si>
    <t>42 959 000</t>
  </si>
  <si>
    <t>35 058 000</t>
  </si>
  <si>
    <t>29 331 000</t>
  </si>
  <si>
    <t>27 188 000</t>
  </si>
  <si>
    <t>729 000</t>
  </si>
  <si>
    <t>1 416 000</t>
  </si>
  <si>
    <t>570 000</t>
  </si>
  <si>
    <t>-1 549 000</t>
  </si>
  <si>
    <t>-2 686 000</t>
  </si>
  <si>
    <t>-2 733 000</t>
  </si>
  <si>
    <t>-2 222 000</t>
  </si>
  <si>
    <t>-1 243 000</t>
  </si>
  <si>
    <t>43 688 000</t>
  </si>
  <si>
    <t>36 474 000</t>
  </si>
  <si>
    <t>29 901 000</t>
  </si>
  <si>
    <t>25 639 000</t>
  </si>
  <si>
    <t>4 448 000</t>
  </si>
  <si>
    <t>19 903 000</t>
  </si>
  <si>
    <t>4 412 000</t>
  </si>
  <si>
    <t>5 100 000</t>
  </si>
  <si>
    <t>39 240 000</t>
  </si>
  <si>
    <t>16 571 000</t>
  </si>
  <si>
    <t>25 489 000</t>
  </si>
  <si>
    <t>20 539 000</t>
  </si>
  <si>
    <t>11 356 000</t>
  </si>
  <si>
    <t>11 946 000</t>
  </si>
  <si>
    <t>7 663 000</t>
  </si>
  <si>
    <t>6 510 000</t>
  </si>
  <si>
    <t>122 476 000</t>
  </si>
  <si>
    <t>121 718 000</t>
  </si>
  <si>
    <t>125 238 000</t>
  </si>
  <si>
    <t>106 531 000</t>
  </si>
  <si>
    <t>29 524 000</t>
  </si>
  <si>
    <t>26 481 000</t>
  </si>
  <si>
    <t>22 431 000</t>
  </si>
  <si>
    <t>18 277 000</t>
  </si>
  <si>
    <t>2 063 000</t>
  </si>
  <si>
    <t>2 662 000</t>
  </si>
  <si>
    <t>2 181 000</t>
  </si>
  <si>
    <t>2 251 000</t>
  </si>
  <si>
    <t>10 133 000</t>
  </si>
  <si>
    <t>6 855 000</t>
  </si>
  <si>
    <t>5 183 000</t>
  </si>
  <si>
    <t>6 091 000</t>
  </si>
  <si>
    <t>175 552 000</t>
  </si>
  <si>
    <t>169 662 000</t>
  </si>
  <si>
    <t>162 696 000</t>
  </si>
  <si>
    <t>139 660 000</t>
  </si>
  <si>
    <t>2 649 000</t>
  </si>
  <si>
    <t>1 862 000</t>
  </si>
  <si>
    <t>6 023 000</t>
  </si>
  <si>
    <t>10 438 000</t>
  </si>
  <si>
    <t>43 856 000</t>
  </si>
  <si>
    <t>36 146 000</t>
  </si>
  <si>
    <t>30 289 000</t>
  </si>
  <si>
    <t>18 356 000</t>
  </si>
  <si>
    <t>42 026 000</t>
  </si>
  <si>
    <t>35 683 000</t>
  </si>
  <si>
    <t>35 122 000</t>
  </si>
  <si>
    <t>17 872 000</t>
  </si>
  <si>
    <t>7 750 000</t>
  </si>
  <si>
    <t>8 053 000</t>
  </si>
  <si>
    <t>10 106 000</t>
  </si>
  <si>
    <t>3 733 000</t>
  </si>
  <si>
    <t>14 723 000</t>
  </si>
  <si>
    <t>7 442 000</t>
  </si>
  <si>
    <t>6 076 000</t>
  </si>
  <si>
    <t>3 409 000</t>
  </si>
  <si>
    <t>7 536 000</t>
  </si>
  <si>
    <t>1 369 000</t>
  </si>
  <si>
    <t>248 000</t>
  </si>
  <si>
    <t>219 000</t>
  </si>
  <si>
    <t>286 556 000</t>
  </si>
  <si>
    <t>258 848 000</t>
  </si>
  <si>
    <t>250 312 000</t>
  </si>
  <si>
    <t>193 468 000</t>
  </si>
  <si>
    <t>9 382 000</t>
  </si>
  <si>
    <t>8 617 000</t>
  </si>
  <si>
    <t>7 390 000</t>
  </si>
  <si>
    <t>6 898 000</t>
  </si>
  <si>
    <t>5 516 000</t>
  </si>
  <si>
    <t>3 998 000</t>
  </si>
  <si>
    <t>1 049 000</t>
  </si>
  <si>
    <t>45 860 000</t>
  </si>
  <si>
    <t>38 195 000</t>
  </si>
  <si>
    <t>30 879 000</t>
  </si>
  <si>
    <t>33 972 000</t>
  </si>
  <si>
    <t>69 420 000</t>
  </si>
  <si>
    <t>58 488 000</t>
  </si>
  <si>
    <t>55 745 000</t>
  </si>
  <si>
    <t>59 357 000</t>
  </si>
  <si>
    <t>66 662 000</t>
  </si>
  <si>
    <t>72 242 000</t>
  </si>
  <si>
    <t>76 073 000</t>
  </si>
  <si>
    <t>40 557 000</t>
  </si>
  <si>
    <t>35 699 000</t>
  </si>
  <si>
    <t>35 707 000</t>
  </si>
  <si>
    <t>22 986 000</t>
  </si>
  <si>
    <t>20 796 000</t>
  </si>
  <si>
    <t>184 226 000</t>
  </si>
  <si>
    <t>176 130 000</t>
  </si>
  <si>
    <t>162 601 000</t>
  </si>
  <si>
    <t>121 471 000</t>
  </si>
  <si>
    <t>78 520 000</t>
  </si>
  <si>
    <t>71 223 000</t>
  </si>
  <si>
    <t>69 315 000</t>
  </si>
  <si>
    <t>68 178 000</t>
  </si>
  <si>
    <t>24 150 000</t>
  </si>
  <si>
    <t>13 682 000</t>
  </si>
  <si>
    <t>17 769 000</t>
  </si>
  <si>
    <t>2 282 000</t>
  </si>
  <si>
    <t>-340 000</t>
  </si>
  <si>
    <t>627 000</t>
  </si>
  <si>
    <t>1 537 000</t>
  </si>
  <si>
    <t>102 330 000</t>
  </si>
  <si>
    <t>82 718 000</t>
  </si>
  <si>
    <t>87 711 000</t>
  </si>
  <si>
    <t>71 997 000</t>
  </si>
  <si>
    <t>52 554 000</t>
  </si>
  <si>
    <t>38 982 000</t>
  </si>
  <si>
    <t>42 483 000</t>
  </si>
  <si>
    <t>50 392 000</t>
  </si>
  <si>
    <t>11 600 000</t>
  </si>
  <si>
    <t>9 900 000</t>
  </si>
  <si>
    <t>7 800 000</t>
  </si>
  <si>
    <t>5 878 000</t>
  </si>
  <si>
    <t>-2 521 000</t>
  </si>
  <si>
    <t>1 342 000</t>
  </si>
  <si>
    <t>6 229 000</t>
  </si>
  <si>
    <t>-2 812 000</t>
  </si>
  <si>
    <t>-3 862 000</t>
  </si>
  <si>
    <t>-1 216 000</t>
  </si>
  <si>
    <t>562 000</t>
  </si>
  <si>
    <t>4 694 000</t>
  </si>
  <si>
    <t>7 070 000</t>
  </si>
  <si>
    <t>3 901 000</t>
  </si>
  <si>
    <t>2 653 000</t>
  </si>
  <si>
    <t>597 000</t>
  </si>
  <si>
    <t>-465 000</t>
  </si>
  <si>
    <t>50 000</t>
  </si>
  <si>
    <t>600 000</t>
  </si>
  <si>
    <t>-1 542 000</t>
  </si>
  <si>
    <t>349 000</t>
  </si>
  <si>
    <t>-2 907 000</t>
  </si>
  <si>
    <t>52 185 000</t>
  </si>
  <si>
    <t>43 884 000</t>
  </si>
  <si>
    <t>39 507 000</t>
  </si>
  <si>
    <t>33 325 000</t>
  </si>
  <si>
    <t>-13 925 000</t>
  </si>
  <si>
    <t>-11 632 000</t>
  </si>
  <si>
    <t>-8 129 000</t>
  </si>
  <si>
    <t>-8 343 000</t>
  </si>
  <si>
    <t>540 000</t>
  </si>
  <si>
    <t>6 557 000</t>
  </si>
  <si>
    <t>-12 511 000</t>
  </si>
  <si>
    <t>-14 417 000</t>
  </si>
  <si>
    <t>-98 000</t>
  </si>
  <si>
    <t>-197 000</t>
  </si>
  <si>
    <t>203 000</t>
  </si>
  <si>
    <t>-15 773 000</t>
  </si>
  <si>
    <t>-6 061 000</t>
  </si>
  <si>
    <t>-46 781 000</t>
  </si>
  <si>
    <t>-23 950 000</t>
  </si>
  <si>
    <t>-13 811 000</t>
  </si>
  <si>
    <t>-12 699 000</t>
  </si>
  <si>
    <t>-11 845 000</t>
  </si>
  <si>
    <t>-11 006 000</t>
  </si>
  <si>
    <t>-4 000 000</t>
  </si>
  <si>
    <t>-10 201 000</t>
  </si>
  <si>
    <t>31 459 000</t>
  </si>
  <si>
    <t>18 283 000</t>
  </si>
  <si>
    <t>-675 000</t>
  </si>
  <si>
    <t>-971 000</t>
  </si>
  <si>
    <t>-190 000</t>
  </si>
  <si>
    <t>-369 000</t>
  </si>
  <si>
    <t>-36 887 000</t>
  </si>
  <si>
    <t>-33 590 000</t>
  </si>
  <si>
    <t>8 408 000</t>
  </si>
  <si>
    <t>-8 393 000</t>
  </si>
  <si>
    <t>-115 000</t>
  </si>
  <si>
    <t>19 000</t>
  </si>
  <si>
    <t>-67 000</t>
  </si>
  <si>
    <t>-590 000</t>
  </si>
  <si>
    <t>4 283 000</t>
  </si>
  <si>
    <t>1 153 000</t>
  </si>
  <si>
    <t>915 000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</si>
</sst>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11"/>
      <color rgb="FF000000"/>
      <name val="Calibri"/>
      <family val="2"/>
    </font>
    <font>
      <sz val="11"/>
      <color theme="2" tint="-0.249977111117893"/>
      <name val="Calibri"/>
      <family val="2"/>
      <scheme val="minor"/>
    </font>
    <font>
      <b/>
      <sz val="11"/>
      <color theme="0"/>
      <name val="Calibri"/>
      <family val="2"/>
      <scheme val="minor"/>
    </font>
    <font>
      <sz val="11"/>
      <color theme="0"/>
      <name val="Calibri"/>
      <family val="2"/>
      <scheme val="minor"/>
    </font>
    <font>
      <sz val="9"/>
      <color rgb="FF000000"/>
      <name val="Calibri"/>
      <family val="2"/>
    </font>
  </fonts>
  <fills count="7">
    <fill>
      <patternFill patternType="none"/>
    </fill>
    <fill>
      <patternFill patternType="gray125"/>
    </fill>
    <fill>
      <patternFill patternType="solid">
        <fgColor theme="2" tint="-0.249977111117893"/>
        <bgColor indexed="64"/>
      </patternFill>
    </fill>
    <fill>
      <patternFill patternType="solid">
        <fgColor theme="0"/>
        <bgColor indexed="64"/>
      </patternFill>
    </fill>
    <fill>
      <patternFill patternType="solid">
        <fgColor rgb="FF7030A0"/>
        <bgColor indexed="64"/>
      </patternFill>
    </fill>
    <fill>
      <patternFill patternType="solid">
        <fgColor rgb="FF9A57CD"/>
        <bgColor indexed="64"/>
      </patternFill>
    </fill>
    <fill>
      <patternFill patternType="solid">
        <fgColor rgb="FFCC99FF"/>
        <bgColor indexed="64"/>
      </patternFill>
    </fill>
  </fills>
  <borders count="16">
    <border>
      <left/>
      <right/>
      <top/>
      <bottom/>
      <diagonal/>
    </border>
    <border>
      <left/>
      <right/>
      <top/>
      <bottom style="thin">
        <color indexed="64"/>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83">
    <xf numFmtId="0" fontId="0" fillId="0" borderId="0" xfId="0"/>
    <xf numFmtId="3" fontId="0" fillId="0" borderId="0" xfId="0" applyNumberFormat="1"/>
    <xf numFmtId="0" fontId="1" fillId="0" borderId="0" xfId="0" applyFont="1"/>
    <xf numFmtId="3" fontId="1" fillId="0" borderId="0" xfId="0" applyNumberFormat="1" applyFont="1"/>
    <xf numFmtId="0" fontId="0" fillId="0" borderId="1" xfId="0" applyBorder="1"/>
    <xf numFmtId="3" fontId="0" fillId="0" borderId="1" xfId="0" applyNumberFormat="1" applyBorder="1"/>
    <xf numFmtId="0" fontId="0" fillId="0" borderId="0" xfId="0" applyFill="1" applyBorder="1"/>
    <xf numFmtId="0" fontId="1" fillId="0" borderId="3" xfId="0" applyFont="1" applyBorder="1"/>
    <xf numFmtId="0" fontId="1" fillId="0" borderId="13" xfId="0" applyFont="1" applyBorder="1" applyAlignment="1">
      <alignment horizontal="left"/>
    </xf>
    <xf numFmtId="0" fontId="1" fillId="0" borderId="3" xfId="0" applyFont="1" applyBorder="1" applyProtection="1">
      <protection hidden="1"/>
    </xf>
    <xf numFmtId="14" fontId="1" fillId="0" borderId="4" xfId="0" applyNumberFormat="1" applyFont="1" applyBorder="1" applyAlignment="1" applyProtection="1">
      <alignment horizontal="right"/>
      <protection hidden="1"/>
    </xf>
    <xf numFmtId="14" fontId="1" fillId="0" borderId="4" xfId="0" applyNumberFormat="1" applyFont="1" applyBorder="1" applyProtection="1">
      <protection hidden="1"/>
    </xf>
    <xf numFmtId="14" fontId="1" fillId="0" borderId="5" xfId="0" applyNumberFormat="1" applyFont="1" applyBorder="1" applyProtection="1">
      <protection hidden="1"/>
    </xf>
    <xf numFmtId="0" fontId="0" fillId="0" borderId="6" xfId="0" applyBorder="1" applyProtection="1">
      <protection hidden="1"/>
    </xf>
    <xf numFmtId="0" fontId="0" fillId="0" borderId="0" xfId="0" applyBorder="1" applyAlignment="1" applyProtection="1">
      <alignment horizontal="right"/>
      <protection hidden="1"/>
    </xf>
    <xf numFmtId="0" fontId="0" fillId="0" borderId="7" xfId="0" applyBorder="1" applyAlignment="1" applyProtection="1">
      <alignment horizontal="right"/>
      <protection hidden="1"/>
    </xf>
    <xf numFmtId="0" fontId="0" fillId="0" borderId="8" xfId="0" applyBorder="1" applyProtection="1">
      <protection hidden="1"/>
    </xf>
    <xf numFmtId="0" fontId="0" fillId="0" borderId="1" xfId="0" applyBorder="1" applyAlignment="1" applyProtection="1">
      <alignment horizontal="right"/>
      <protection hidden="1"/>
    </xf>
    <xf numFmtId="0" fontId="0" fillId="0" borderId="9" xfId="0" applyBorder="1" applyAlignment="1" applyProtection="1">
      <alignment horizontal="right"/>
      <protection hidden="1"/>
    </xf>
    <xf numFmtId="0" fontId="0" fillId="0" borderId="6" xfId="0" applyFont="1" applyBorder="1" applyProtection="1">
      <protection hidden="1"/>
    </xf>
    <xf numFmtId="0" fontId="1" fillId="0" borderId="10" xfId="0" applyFont="1" applyFill="1" applyBorder="1" applyProtection="1">
      <protection hidden="1"/>
    </xf>
    <xf numFmtId="0" fontId="1" fillId="0" borderId="2" xfId="0" applyFont="1" applyBorder="1" applyAlignment="1" applyProtection="1">
      <alignment horizontal="right"/>
      <protection hidden="1"/>
    </xf>
    <xf numFmtId="0" fontId="1" fillId="0" borderId="11" xfId="0" applyFont="1" applyBorder="1" applyAlignment="1" applyProtection="1">
      <alignment horizontal="right"/>
      <protection hidden="1"/>
    </xf>
    <xf numFmtId="4" fontId="0" fillId="0" borderId="7" xfId="0" applyNumberFormat="1" applyBorder="1" applyAlignment="1" applyProtection="1">
      <alignment horizontal="right" wrapText="1"/>
      <protection hidden="1"/>
    </xf>
    <xf numFmtId="0" fontId="0" fillId="0" borderId="8" xfId="0" applyFont="1" applyBorder="1" applyProtection="1">
      <protection hidden="1"/>
    </xf>
    <xf numFmtId="14" fontId="1" fillId="0" borderId="5" xfId="0" applyNumberFormat="1" applyFont="1" applyBorder="1" applyAlignment="1" applyProtection="1">
      <alignment horizontal="right"/>
      <protection hidden="1"/>
    </xf>
    <xf numFmtId="0" fontId="1" fillId="0" borderId="10" xfId="0" applyFont="1" applyBorder="1" applyProtection="1">
      <protection hidden="1"/>
    </xf>
    <xf numFmtId="0" fontId="1" fillId="0" borderId="8" xfId="0" applyFont="1" applyBorder="1" applyProtection="1">
      <protection hidden="1"/>
    </xf>
    <xf numFmtId="0" fontId="1" fillId="0" borderId="1" xfId="0" applyFont="1" applyBorder="1" applyAlignment="1" applyProtection="1">
      <alignment horizontal="right"/>
      <protection hidden="1"/>
    </xf>
    <xf numFmtId="0" fontId="1" fillId="0" borderId="9" xfId="0" applyFont="1" applyBorder="1" applyAlignment="1" applyProtection="1">
      <alignment horizontal="right"/>
      <protection hidden="1"/>
    </xf>
    <xf numFmtId="0" fontId="0" fillId="0" borderId="0" xfId="0" applyProtection="1">
      <protection locked="0"/>
    </xf>
    <xf numFmtId="0" fontId="0" fillId="0" borderId="0" xfId="0" applyAlignment="1" applyProtection="1">
      <alignment horizontal="right"/>
      <protection locked="0"/>
    </xf>
    <xf numFmtId="3" fontId="0" fillId="0" borderId="0" xfId="0" applyNumberFormat="1" applyProtection="1">
      <protection locked="0"/>
    </xf>
    <xf numFmtId="0" fontId="0" fillId="0" borderId="0" xfId="0" applyBorder="1" applyProtection="1">
      <protection locked="0"/>
    </xf>
    <xf numFmtId="0" fontId="0" fillId="0" borderId="0" xfId="0" applyBorder="1" applyAlignment="1" applyProtection="1">
      <alignment horizontal="right"/>
      <protection locked="0"/>
    </xf>
    <xf numFmtId="0" fontId="3" fillId="2" borderId="3" xfId="0" applyFont="1" applyFill="1" applyBorder="1" applyProtection="1">
      <protection hidden="1"/>
    </xf>
    <xf numFmtId="0" fontId="3" fillId="2" borderId="5" xfId="0" applyFont="1" applyFill="1" applyBorder="1" applyProtection="1">
      <protection hidden="1"/>
    </xf>
    <xf numFmtId="0" fontId="0" fillId="2" borderId="8" xfId="0" applyFill="1" applyBorder="1" applyProtection="1">
      <protection hidden="1"/>
    </xf>
    <xf numFmtId="0" fontId="0" fillId="2" borderId="9" xfId="0" applyFill="1" applyBorder="1" applyProtection="1">
      <protection hidden="1"/>
    </xf>
    <xf numFmtId="2" fontId="0" fillId="3" borderId="0" xfId="0" applyNumberFormat="1" applyFill="1" applyBorder="1" applyAlignment="1">
      <alignment horizontal="left"/>
    </xf>
    <xf numFmtId="0" fontId="0" fillId="3" borderId="0" xfId="0" applyFill="1" applyBorder="1" applyAlignment="1">
      <alignment horizontal="left"/>
    </xf>
    <xf numFmtId="0" fontId="0" fillId="0" borderId="0" xfId="0" applyBorder="1"/>
    <xf numFmtId="0" fontId="0" fillId="0" borderId="0" xfId="0" applyNumberFormat="1"/>
    <xf numFmtId="0" fontId="1" fillId="0" borderId="0" xfId="0" applyNumberFormat="1" applyFont="1"/>
    <xf numFmtId="14" fontId="0" fillId="0" borderId="0" xfId="0" applyNumberFormat="1"/>
    <xf numFmtId="0" fontId="0" fillId="0" borderId="0" xfId="0" applyNumberFormat="1" applyBorder="1"/>
    <xf numFmtId="14" fontId="0" fillId="0" borderId="0" xfId="0" applyNumberFormat="1" applyBorder="1"/>
    <xf numFmtId="14" fontId="0" fillId="3" borderId="0" xfId="0" applyNumberFormat="1" applyFill="1" applyBorder="1" applyAlignment="1">
      <alignment horizontal="left"/>
    </xf>
    <xf numFmtId="15" fontId="0" fillId="0" borderId="0" xfId="0" applyNumberFormat="1"/>
    <xf numFmtId="14" fontId="1" fillId="0" borderId="0" xfId="0" applyNumberFormat="1" applyFont="1"/>
    <xf numFmtId="4" fontId="0" fillId="0" borderId="0" xfId="0" applyNumberFormat="1"/>
    <xf numFmtId="0" fontId="0" fillId="0" borderId="0" xfId="0" applyNumberFormat="1" applyFont="1"/>
    <xf numFmtId="0" fontId="4" fillId="0" borderId="0" xfId="0" applyFont="1" applyProtection="1">
      <protection hidden="1"/>
    </xf>
    <xf numFmtId="15" fontId="5" fillId="0" borderId="0" xfId="0" applyNumberFormat="1" applyFont="1" applyProtection="1">
      <protection hidden="1"/>
    </xf>
    <xf numFmtId="2" fontId="5" fillId="0" borderId="0" xfId="0" applyNumberFormat="1" applyFont="1" applyProtection="1">
      <protection hidden="1"/>
    </xf>
    <xf numFmtId="0" fontId="5" fillId="0" borderId="0" xfId="0" applyFont="1" applyProtection="1">
      <protection hidden="1"/>
    </xf>
    <xf numFmtId="0" fontId="0" fillId="4" borderId="3" xfId="0" applyFill="1" applyBorder="1"/>
    <xf numFmtId="0" fontId="0" fillId="4" borderId="5" xfId="0" applyFill="1" applyBorder="1"/>
    <xf numFmtId="0" fontId="0" fillId="4" borderId="8" xfId="0" applyFill="1" applyBorder="1"/>
    <xf numFmtId="0" fontId="0" fillId="4" borderId="9" xfId="0" applyFill="1" applyBorder="1"/>
    <xf numFmtId="0" fontId="1" fillId="0" borderId="0" xfId="0" applyFont="1" applyBorder="1"/>
    <xf numFmtId="2" fontId="0" fillId="0" borderId="0" xfId="0" applyNumberFormat="1"/>
    <xf numFmtId="0" fontId="4" fillId="3" borderId="0" xfId="0" applyFont="1" applyFill="1"/>
    <xf numFmtId="0" fontId="5" fillId="3" borderId="0" xfId="0" applyFont="1" applyFill="1" applyBorder="1"/>
    <xf numFmtId="0" fontId="5" fillId="3" borderId="0" xfId="0" applyFont="1" applyFill="1" applyProtection="1"/>
    <xf numFmtId="0" fontId="5" fillId="3" borderId="0" xfId="0" applyFont="1" applyFill="1"/>
    <xf numFmtId="0" fontId="0" fillId="5" borderId="3" xfId="0" applyFill="1" applyBorder="1" applyAlignment="1" applyProtection="1">
      <alignment horizontal="right"/>
      <protection locked="0"/>
    </xf>
    <xf numFmtId="0" fontId="0" fillId="5" borderId="6" xfId="0" applyFill="1" applyBorder="1" applyAlignment="1" applyProtection="1">
      <alignment horizontal="right"/>
      <protection locked="0"/>
    </xf>
    <xf numFmtId="0" fontId="0" fillId="5" borderId="8" xfId="0" applyFill="1" applyBorder="1" applyAlignment="1" applyProtection="1">
      <alignment horizontal="right"/>
      <protection locked="0"/>
    </xf>
    <xf numFmtId="0" fontId="1" fillId="2" borderId="12" xfId="0" applyFont="1" applyFill="1" applyBorder="1" applyAlignment="1" applyProtection="1">
      <alignment horizontal="left"/>
      <protection locked="0"/>
    </xf>
    <xf numFmtId="0" fontId="0" fillId="2" borderId="14" xfId="0" applyFill="1" applyBorder="1" applyAlignment="1" applyProtection="1">
      <alignment horizontal="right"/>
      <protection locked="0"/>
    </xf>
    <xf numFmtId="0" fontId="0" fillId="2" borderId="14" xfId="0" applyFill="1" applyBorder="1" applyProtection="1">
      <protection locked="0"/>
    </xf>
    <xf numFmtId="0" fontId="0" fillId="2" borderId="15" xfId="0" applyFill="1" applyBorder="1" applyProtection="1">
      <protection locked="0"/>
    </xf>
    <xf numFmtId="0" fontId="0" fillId="5" borderId="3" xfId="0" applyFill="1" applyBorder="1"/>
    <xf numFmtId="0" fontId="0" fillId="5" borderId="5" xfId="0" applyFill="1" applyBorder="1"/>
    <xf numFmtId="0" fontId="0" fillId="5" borderId="8" xfId="0" applyFill="1" applyBorder="1"/>
    <xf numFmtId="0" fontId="0" fillId="5" borderId="9" xfId="0" applyFill="1" applyBorder="1"/>
    <xf numFmtId="0" fontId="0" fillId="6" borderId="3" xfId="0" applyFill="1" applyBorder="1"/>
    <xf numFmtId="0" fontId="0" fillId="6" borderId="5" xfId="0" applyFill="1" applyBorder="1"/>
    <xf numFmtId="0" fontId="0" fillId="6" borderId="8" xfId="0" applyFill="1" applyBorder="1"/>
    <xf numFmtId="0" fontId="1" fillId="0" borderId="5" xfId="0" applyFont="1" applyBorder="1"/>
    <xf numFmtId="0" fontId="0" fillId="3" borderId="15" xfId="0" applyFill="1" applyBorder="1" applyProtection="1">
      <protection locked="0"/>
    </xf>
    <xf numFmtId="0" fontId="0" fillId="6" borderId="9" xfId="0" applyFill="1" applyBorder="1"/>
  </cellXfs>
  <cellStyles count="1">
    <cellStyle name="Normal" xfId="0" builtinId="0"/>
  </cellStyles>
  <dxfs count="80">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yyyy/mm/dd"/>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yyyy/mm/dd"/>
    </dxf>
    <dxf>
      <font>
        <b/>
        <i val="0"/>
      </font>
      <fill>
        <patternFill>
          <bgColor rgb="FFFF0000"/>
        </patternFill>
      </fill>
      <border>
        <left style="thin">
          <color auto="1"/>
        </left>
        <right/>
        <top style="thin">
          <color auto="1"/>
        </top>
        <bottom style="thin">
          <color auto="1"/>
        </bottom>
        <vertical/>
        <horizontal/>
      </border>
    </dxf>
    <dxf>
      <fill>
        <patternFill>
          <bgColor rgb="FF9A57CD"/>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6" tint="0.39994506668294322"/>
        </patternFill>
      </fill>
    </dxf>
    <dxf>
      <font>
        <b/>
        <i val="0"/>
      </font>
      <fill>
        <patternFill>
          <bgColor rgb="FFFF0000"/>
        </patternFill>
      </fill>
      <border>
        <left style="thin">
          <color auto="1"/>
        </left>
        <right/>
        <top style="thin">
          <color auto="1"/>
        </top>
        <bottom style="thin">
          <color auto="1"/>
        </bottom>
        <vertical/>
        <horizontal/>
      </border>
    </dxf>
    <dxf>
      <fill>
        <patternFill>
          <bgColor rgb="FF9A57CD"/>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6" tint="0.39994506668294322"/>
        </patternFill>
      </fill>
    </dxf>
    <dxf>
      <font>
        <b/>
        <i val="0"/>
      </font>
      <fill>
        <patternFill>
          <bgColor rgb="FFFF0000"/>
        </patternFill>
      </fill>
      <border>
        <left style="thin">
          <color auto="1"/>
        </left>
        <right/>
        <top style="thin">
          <color auto="1"/>
        </top>
        <bottom style="thin">
          <color auto="1"/>
        </bottom>
        <vertical/>
        <horizontal/>
      </border>
    </dxf>
    <dxf>
      <fill>
        <patternFill>
          <bgColor rgb="FF9A57CD"/>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6" tint="0.39994506668294322"/>
        </patternFill>
      </fill>
    </dxf>
    <dxf>
      <font>
        <b/>
        <i val="0"/>
      </font>
      <fill>
        <patternFill>
          <bgColor rgb="FFFF0000"/>
        </patternFill>
      </fill>
      <border>
        <left style="thin">
          <color auto="1"/>
        </left>
        <right/>
        <top style="thin">
          <color auto="1"/>
        </top>
        <bottom style="thin">
          <color auto="1"/>
        </bottom>
        <vertical/>
        <horizontal/>
      </border>
    </dxf>
    <dxf>
      <fill>
        <patternFill>
          <bgColor rgb="FF9A57CD"/>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6" tint="0.39994506668294322"/>
        </patternFill>
      </fill>
    </dxf>
    <dxf>
      <font>
        <b/>
        <i val="0"/>
      </font>
      <fill>
        <patternFill>
          <bgColor rgb="FFFF0000"/>
        </patternFill>
      </fill>
      <border>
        <left style="thin">
          <color auto="1"/>
        </left>
        <right/>
        <top style="thin">
          <color auto="1"/>
        </top>
        <bottom style="thin">
          <color auto="1"/>
        </bottom>
        <vertical/>
        <horizontal/>
      </border>
    </dxf>
    <dxf>
      <fill>
        <patternFill>
          <bgColor rgb="FF9A57CD"/>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6" tint="0.39994506668294322"/>
        </patternFill>
      </fill>
    </dxf>
    <dxf>
      <font>
        <b/>
        <i val="0"/>
      </font>
      <fill>
        <patternFill>
          <bgColor rgb="FFFF0000"/>
        </patternFill>
      </fill>
      <border>
        <left style="thin">
          <color auto="1"/>
        </left>
        <right/>
        <top style="thin">
          <color auto="1"/>
        </top>
        <bottom style="thin">
          <color auto="1"/>
        </bottom>
        <vertical/>
        <horizontal/>
      </border>
    </dxf>
    <dxf>
      <fill>
        <patternFill>
          <bgColor rgb="FF9A57CD"/>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6" tint="0.39994506668294322"/>
        </patternFill>
      </fill>
    </dxf>
  </dxfs>
  <tableStyles count="0" defaultTableStyle="TableStyleMedium2" defaultPivotStyle="PivotStyleLight16"/>
  <colors>
    <mruColors>
      <color rgb="FFCC99FF"/>
      <color rgb="FF9A57CD"/>
      <color rgb="FF9999FF"/>
      <color rgb="FF9966FF"/>
      <color rgb="FFFF9999"/>
      <color rgb="FF800000"/>
      <color rgb="FF49E1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0"/>
          <c:tx>
            <c:v>OMX 30 in SEK</c:v>
          </c:tx>
          <c:spPr>
            <a:ln w="38100" cap="rnd">
              <a:solidFill>
                <a:schemeClr val="bg2">
                  <a:lumMod val="50000"/>
                </a:schemeClr>
              </a:solidFill>
              <a:round/>
            </a:ln>
            <a:effectLst/>
          </c:spPr>
          <c:marker>
            <c:symbol val="none"/>
          </c:marker>
          <c:cat>
            <c:strRef>
              <c:extLst>
                <c:ext xmlns:c16="http://schemas.microsoft.com/office/drawing/2014/chart" uri="{F5D05F6E-A05E-4728-AFD3-386EB277150F}">
                  <c16:filteredLitCache>
                    <c:strCache>
                      <c:ptCount val="1"/>
                      <c:pt idx="0">
                        <c:v>Date</c:v>
                      </c:pt>
                    </c:strCache>
                  </c16:filteredLitCache>
                </c:ext>
              </c:extLst>
              <c:f/>
              <c:strCache>
                <c:ptCount val="100"/>
                <c:pt idx="0">
                  <c:v>5/10/2019</c:v>
                </c:pt>
                <c:pt idx="1">
                  <c:v>5/9/2019</c:v>
                </c:pt>
                <c:pt idx="2">
                  <c:v>5/8/2019</c:v>
                </c:pt>
                <c:pt idx="3">
                  <c:v>5/7/2019</c:v>
                </c:pt>
                <c:pt idx="4">
                  <c:v>5/6/2019</c:v>
                </c:pt>
                <c:pt idx="5">
                  <c:v>5/3/2019</c:v>
                </c:pt>
                <c:pt idx="6">
                  <c:v>5/2/2019</c:v>
                </c:pt>
                <c:pt idx="7">
                  <c:v>5/1/2019</c:v>
                </c:pt>
                <c:pt idx="8">
                  <c:v>4/30/2019</c:v>
                </c:pt>
                <c:pt idx="9">
                  <c:v>4/29/2019</c:v>
                </c:pt>
                <c:pt idx="10">
                  <c:v>4/26/2019</c:v>
                </c:pt>
                <c:pt idx="11">
                  <c:v>4/25/2019</c:v>
                </c:pt>
                <c:pt idx="12">
                  <c:v>4/24/2019</c:v>
                </c:pt>
                <c:pt idx="13">
                  <c:v>4/23/2019</c:v>
                </c:pt>
                <c:pt idx="14">
                  <c:v>4/22/2019</c:v>
                </c:pt>
                <c:pt idx="15">
                  <c:v>4/18/2019</c:v>
                </c:pt>
                <c:pt idx="16">
                  <c:v>4/17/2019</c:v>
                </c:pt>
                <c:pt idx="17">
                  <c:v>4/16/2019</c:v>
                </c:pt>
                <c:pt idx="18">
                  <c:v>4/15/2019</c:v>
                </c:pt>
                <c:pt idx="19">
                  <c:v>4/12/2019</c:v>
                </c:pt>
                <c:pt idx="20">
                  <c:v>4/11/2019</c:v>
                </c:pt>
                <c:pt idx="21">
                  <c:v>4/10/2019</c:v>
                </c:pt>
                <c:pt idx="22">
                  <c:v>4/9/2019</c:v>
                </c:pt>
                <c:pt idx="23">
                  <c:v>4/8/2019</c:v>
                </c:pt>
                <c:pt idx="24">
                  <c:v>4/5/2019</c:v>
                </c:pt>
                <c:pt idx="25">
                  <c:v>4/4/2019</c:v>
                </c:pt>
                <c:pt idx="26">
                  <c:v>4/3/2019</c:v>
                </c:pt>
                <c:pt idx="27">
                  <c:v>4/2/2019</c:v>
                </c:pt>
                <c:pt idx="28">
                  <c:v>4/1/2019</c:v>
                </c:pt>
                <c:pt idx="29">
                  <c:v>3/29/2019</c:v>
                </c:pt>
                <c:pt idx="30">
                  <c:v>3/28/2019</c:v>
                </c:pt>
                <c:pt idx="31">
                  <c:v>3/27/2019</c:v>
                </c:pt>
                <c:pt idx="32">
                  <c:v>3/26/2019</c:v>
                </c:pt>
                <c:pt idx="33">
                  <c:v>3/25/2019</c:v>
                </c:pt>
                <c:pt idx="34">
                  <c:v>3/22/2019</c:v>
                </c:pt>
                <c:pt idx="35">
                  <c:v>3/21/2019</c:v>
                </c:pt>
                <c:pt idx="36">
                  <c:v>3/20/2019</c:v>
                </c:pt>
                <c:pt idx="37">
                  <c:v>3/19/2019</c:v>
                </c:pt>
                <c:pt idx="38">
                  <c:v>3/18/2019</c:v>
                </c:pt>
                <c:pt idx="39">
                  <c:v>3/15/2019</c:v>
                </c:pt>
                <c:pt idx="40">
                  <c:v>3/14/2019</c:v>
                </c:pt>
                <c:pt idx="41">
                  <c:v>3/13/2019</c:v>
                </c:pt>
                <c:pt idx="42">
                  <c:v>3/12/2019</c:v>
                </c:pt>
                <c:pt idx="43">
                  <c:v>3/11/2019</c:v>
                </c:pt>
                <c:pt idx="44">
                  <c:v>3/8/2019</c:v>
                </c:pt>
                <c:pt idx="45">
                  <c:v>3/7/2019</c:v>
                </c:pt>
                <c:pt idx="46">
                  <c:v>3/6/2019</c:v>
                </c:pt>
                <c:pt idx="47">
                  <c:v>3/5/2019</c:v>
                </c:pt>
                <c:pt idx="48">
                  <c:v>3/4/2019</c:v>
                </c:pt>
                <c:pt idx="49">
                  <c:v>3/1/2019</c:v>
                </c:pt>
                <c:pt idx="50">
                  <c:v>2/28/2019</c:v>
                </c:pt>
                <c:pt idx="51">
                  <c:v>2/27/2019</c:v>
                </c:pt>
                <c:pt idx="52">
                  <c:v>2/26/2019</c:v>
                </c:pt>
                <c:pt idx="53">
                  <c:v>2/25/2019</c:v>
                </c:pt>
                <c:pt idx="54">
                  <c:v>2/22/2019</c:v>
                </c:pt>
                <c:pt idx="55">
                  <c:v>2/21/2019</c:v>
                </c:pt>
                <c:pt idx="56">
                  <c:v>2/20/2019</c:v>
                </c:pt>
                <c:pt idx="57">
                  <c:v>2/19/2019</c:v>
                </c:pt>
                <c:pt idx="58">
                  <c:v>2/15/2019</c:v>
                </c:pt>
                <c:pt idx="59">
                  <c:v>2/14/2019</c:v>
                </c:pt>
                <c:pt idx="60">
                  <c:v>2/13/2019</c:v>
                </c:pt>
                <c:pt idx="61">
                  <c:v>2/12/2019</c:v>
                </c:pt>
                <c:pt idx="62">
                  <c:v>2/11/2019</c:v>
                </c:pt>
                <c:pt idx="63">
                  <c:v>2/8/2019</c:v>
                </c:pt>
                <c:pt idx="64">
                  <c:v>2/7/2019</c:v>
                </c:pt>
                <c:pt idx="65">
                  <c:v>2/6/2019</c:v>
                </c:pt>
                <c:pt idx="66">
                  <c:v>2/5/2019</c:v>
                </c:pt>
                <c:pt idx="67">
                  <c:v>2/4/2019</c:v>
                </c:pt>
                <c:pt idx="68">
                  <c:v>2/1/2019</c:v>
                </c:pt>
                <c:pt idx="69">
                  <c:v>1/31/2019</c:v>
                </c:pt>
                <c:pt idx="70">
                  <c:v>1/30/2019</c:v>
                </c:pt>
                <c:pt idx="71">
                  <c:v>1/29/2019</c:v>
                </c:pt>
                <c:pt idx="72">
                  <c:v>1/28/2019</c:v>
                </c:pt>
                <c:pt idx="73">
                  <c:v>1/25/2019</c:v>
                </c:pt>
                <c:pt idx="74">
                  <c:v>1/24/2019</c:v>
                </c:pt>
                <c:pt idx="75">
                  <c:v>1/23/2019</c:v>
                </c:pt>
                <c:pt idx="76">
                  <c:v>1/22/2019</c:v>
                </c:pt>
                <c:pt idx="77">
                  <c:v>1/18/2019</c:v>
                </c:pt>
                <c:pt idx="78">
                  <c:v>1/17/2019</c:v>
                </c:pt>
                <c:pt idx="79">
                  <c:v>1/16/2019</c:v>
                </c:pt>
                <c:pt idx="80">
                  <c:v>1/15/2019</c:v>
                </c:pt>
                <c:pt idx="81">
                  <c:v>1/14/2019</c:v>
                </c:pt>
                <c:pt idx="82">
                  <c:v>1/11/2019</c:v>
                </c:pt>
                <c:pt idx="83">
                  <c:v>1/10/2019</c:v>
                </c:pt>
                <c:pt idx="84">
                  <c:v>1/9/2019</c:v>
                </c:pt>
                <c:pt idx="85">
                  <c:v>1/8/2019</c:v>
                </c:pt>
                <c:pt idx="86">
                  <c:v>1/7/2019</c:v>
                </c:pt>
                <c:pt idx="87">
                  <c:v>1/4/2019</c:v>
                </c:pt>
                <c:pt idx="88">
                  <c:v>1/3/2019</c:v>
                </c:pt>
                <c:pt idx="89">
                  <c:v>1/2/2019</c:v>
                </c:pt>
                <c:pt idx="90">
                  <c:v>12/31/2018</c:v>
                </c:pt>
                <c:pt idx="91">
                  <c:v>12/28/2018</c:v>
                </c:pt>
                <c:pt idx="92">
                  <c:v>12/27/2018</c:v>
                </c:pt>
                <c:pt idx="93">
                  <c:v>12/26/2018</c:v>
                </c:pt>
                <c:pt idx="94">
                  <c:v>12/24/2018</c:v>
                </c:pt>
                <c:pt idx="95">
                  <c:v>12/21/2018</c:v>
                </c:pt>
                <c:pt idx="96">
                  <c:v>12/20/2018</c:v>
                </c:pt>
                <c:pt idx="97">
                  <c:v>12/19/2018</c:v>
                </c:pt>
                <c:pt idx="98">
                  <c:v>12/18/2018</c:v>
                </c:pt>
                <c:pt idx="99">
                  <c:v>12/17/2018</c:v>
                </c:pt>
              </c:strCache>
            </c:strRef>
          </c:cat>
          <c:val>
            <c:numRef>
              <c:extLst>
                <c:ext xmlns:c16="http://schemas.microsoft.com/office/drawing/2014/chart" uri="{F5D05F6E-A05E-4728-AFD3-386EB277150F}">
                  <c16:filteredLitCache>
                    <c:numCache>
                      <c:formatCode>General</c:formatCode>
                      <c:ptCount val="1"/>
                      <c:pt idx="0">
                        <c:v>0</c:v>
                      </c:pt>
                    </c:numCache>
                  </c16:filteredLitCache>
                </c:ext>
              </c:extLst>
              <c:f/>
              <c:numCache>
                <c:formatCode>General</c:formatCode>
                <c:ptCount val="100"/>
                <c:pt idx="0">
                  <c:v>1597.13</c:v>
                </c:pt>
                <c:pt idx="1">
                  <c:v>1622.45</c:v>
                </c:pt>
                <c:pt idx="2">
                  <c:v>1617.25</c:v>
                </c:pt>
                <c:pt idx="3">
                  <c:v>1647.85</c:v>
                </c:pt>
                <c:pt idx="4">
                  <c:v>1665.89</c:v>
                </c:pt>
                <c:pt idx="5">
                  <c:v>1664.94</c:v>
                </c:pt>
                <c:pt idx="6">
                  <c:v>1675.76</c:v>
                </c:pt>
                <c:pt idx="7">
                  <c:v>1691.33</c:v>
                </c:pt>
                <c:pt idx="8">
                  <c:v>1689.76</c:v>
                </c:pt>
                <c:pt idx="9">
                  <c:v>1689.9</c:v>
                </c:pt>
                <c:pt idx="10">
                  <c:v>1678.97</c:v>
                </c:pt>
                <c:pt idx="11">
                  <c:v>1672.1</c:v>
                </c:pt>
                <c:pt idx="12">
                  <c:v>1670.5</c:v>
                </c:pt>
                <c:pt idx="13">
                  <c:v>1660.97</c:v>
                </c:pt>
                <c:pt idx="14">
                  <c:v>1647.69</c:v>
                </c:pt>
                <c:pt idx="15">
                  <c:v>1642.16</c:v>
                </c:pt>
                <c:pt idx="16">
                  <c:v>1641.21</c:v>
                </c:pt>
                <c:pt idx="17">
                  <c:v>1627.02</c:v>
                </c:pt>
                <c:pt idx="18">
                  <c:v>1626.78</c:v>
                </c:pt>
                <c:pt idx="19">
                  <c:v>1616.15</c:v>
                </c:pt>
                <c:pt idx="20">
                  <c:v>1625.37</c:v>
                </c:pt>
                <c:pt idx="21">
                  <c:v>1621.9</c:v>
                </c:pt>
                <c:pt idx="22">
                  <c:v>1616.36</c:v>
                </c:pt>
                <c:pt idx="23">
                  <c:v>1622.75</c:v>
                </c:pt>
                <c:pt idx="24">
                  <c:v>1596.04</c:v>
                </c:pt>
                <c:pt idx="25">
                  <c:v>1580.66</c:v>
                </c:pt>
                <c:pt idx="26">
                  <c:v>1554.92</c:v>
                </c:pt>
                <c:pt idx="27">
                  <c:v>1561.31</c:v>
                </c:pt>
                <c:pt idx="28">
                  <c:v>1565.44</c:v>
                </c:pt>
                <c:pt idx="29">
                  <c:v>1575</c:v>
                </c:pt>
                <c:pt idx="30">
                  <c:v>1574.59</c:v>
                </c:pt>
                <c:pt idx="31">
                  <c:v>1576.82</c:v>
                </c:pt>
                <c:pt idx="32">
                  <c:v>1606</c:v>
                </c:pt>
                <c:pt idx="33">
                  <c:v>1605.31</c:v>
                </c:pt>
                <c:pt idx="34">
                  <c:v>1614.58</c:v>
                </c:pt>
                <c:pt idx="35">
                  <c:v>1605.8</c:v>
                </c:pt>
                <c:pt idx="36">
                  <c:v>1595.92</c:v>
                </c:pt>
                <c:pt idx="37">
                  <c:v>1590.76</c:v>
                </c:pt>
                <c:pt idx="38">
                  <c:v>1572.86</c:v>
                </c:pt>
                <c:pt idx="39">
                  <c:v>1565.33</c:v>
                </c:pt>
                <c:pt idx="40">
                  <c:v>1572.27</c:v>
                </c:pt>
                <c:pt idx="41">
                  <c:v>1559.22</c:v>
                </c:pt>
                <c:pt idx="42">
                  <c:v>1558.33</c:v>
                </c:pt>
                <c:pt idx="43">
                  <c:v>1572.48</c:v>
                </c:pt>
                <c:pt idx="44">
                  <c:v>1588.06</c:v>
                </c:pt>
                <c:pt idx="45">
                  <c:v>1587.95</c:v>
                </c:pt>
                <c:pt idx="46">
                  <c:v>1580.7</c:v>
                </c:pt>
                <c:pt idx="47">
                  <c:v>1574.3</c:v>
                </c:pt>
                <c:pt idx="48">
                  <c:v>1576.98</c:v>
                </c:pt>
                <c:pt idx="49">
                  <c:v>1583.17</c:v>
                </c:pt>
                <c:pt idx="50">
                  <c:v>1585.21</c:v>
                </c:pt>
                <c:pt idx="51">
                  <c:v>1590.52</c:v>
                </c:pt>
                <c:pt idx="52">
                  <c:v>1573.01</c:v>
                </c:pt>
                <c:pt idx="53">
                  <c:v>1585.82</c:v>
                </c:pt>
                <c:pt idx="54">
                  <c:v>1587.55</c:v>
                </c:pt>
                <c:pt idx="55">
                  <c:v>1584.02</c:v>
                </c:pt>
                <c:pt idx="56">
                  <c:v>1583.45</c:v>
                </c:pt>
                <c:pt idx="57">
                  <c:v>1561.95</c:v>
                </c:pt>
                <c:pt idx="58">
                  <c:v>1559.55</c:v>
                </c:pt>
                <c:pt idx="59">
                  <c:v>1550.43</c:v>
                </c:pt>
                <c:pt idx="60">
                  <c:v>1543.85</c:v>
                </c:pt>
                <c:pt idx="61">
                  <c:v>1528.2</c:v>
                </c:pt>
                <c:pt idx="62">
                  <c:v>1529.43</c:v>
                </c:pt>
                <c:pt idx="63">
                  <c:v>1551.35</c:v>
                </c:pt>
                <c:pt idx="64">
                  <c:v>1542.11</c:v>
                </c:pt>
                <c:pt idx="65">
                  <c:v>1526.35</c:v>
                </c:pt>
                <c:pt idx="66">
                  <c:v>1526.89</c:v>
                </c:pt>
                <c:pt idx="67">
                  <c:v>1515.78</c:v>
                </c:pt>
                <c:pt idx="68">
                  <c:v>1510.51</c:v>
                </c:pt>
                <c:pt idx="69">
                  <c:v>1501.88</c:v>
                </c:pt>
                <c:pt idx="70">
                  <c:v>1491.38</c:v>
                </c:pt>
                <c:pt idx="71">
                  <c:v>1501.15</c:v>
                </c:pt>
                <c:pt idx="72">
                  <c:v>1487.7</c:v>
                </c:pt>
                <c:pt idx="73">
                  <c:v>1479.42</c:v>
                </c:pt>
                <c:pt idx="74">
                  <c:v>1485.9</c:v>
                </c:pt>
                <c:pt idx="75">
                  <c:v>1492.72</c:v>
                </c:pt>
                <c:pt idx="76">
                  <c:v>1499.88</c:v>
                </c:pt>
                <c:pt idx="77">
                  <c:v>1474.62</c:v>
                </c:pt>
                <c:pt idx="78">
                  <c:v>1468.19</c:v>
                </c:pt>
                <c:pt idx="79">
                  <c:v>1456.47</c:v>
                </c:pt>
                <c:pt idx="80">
                  <c:v>1459.92</c:v>
                </c:pt>
                <c:pt idx="81">
                  <c:v>1462.62</c:v>
                </c:pt>
                <c:pt idx="82">
                  <c:v>1470.14</c:v>
                </c:pt>
                <c:pt idx="83">
                  <c:v>1469.05</c:v>
                </c:pt>
                <c:pt idx="84">
                  <c:v>1458.05</c:v>
                </c:pt>
                <c:pt idx="85">
                  <c:v>1440.74</c:v>
                </c:pt>
                <c:pt idx="86">
                  <c:v>1437.74</c:v>
                </c:pt>
                <c:pt idx="87">
                  <c:v>1395.28</c:v>
                </c:pt>
                <c:pt idx="88">
                  <c:v>1403.8</c:v>
                </c:pt>
                <c:pt idx="89">
                  <c:v>1407.65</c:v>
                </c:pt>
                <c:pt idx="90">
                  <c:v>1387.52</c:v>
                </c:pt>
                <c:pt idx="91">
                  <c:v>1409.99</c:v>
                </c:pt>
                <c:pt idx="92">
                  <c:v>1418.34</c:v>
                </c:pt>
                <c:pt idx="93">
                  <c:v>1446.83</c:v>
                </c:pt>
                <c:pt idx="94">
                  <c:v>1447.29</c:v>
                </c:pt>
                <c:pt idx="95">
                  <c:v>1450.73</c:v>
                </c:pt>
                <c:pt idx="96">
                  <c:v>1471.68</c:v>
                </c:pt>
                <c:pt idx="97">
                  <c:v>1477.27</c:v>
                </c:pt>
                <c:pt idx="98">
                  <c:v>1494.37</c:v>
                </c:pt>
                <c:pt idx="99">
                  <c:v>1465.78</c:v>
                </c:pt>
              </c:numCache>
            </c:numRef>
          </c:val>
          <c:smooth val="0"/>
          <c:extLst>
            <c:ext xmlns:c16="http://schemas.microsoft.com/office/drawing/2014/chart" uri="{C3380CC4-5D6E-409C-BE32-E72D297353CC}">
              <c16:uniqueId val="{00000001-3E2B-4C29-88D5-DDC23D767A66}"/>
            </c:ext>
          </c:extLst>
        </c:ser>
        <c:ser>
          <c:idx val="2"/>
          <c:order val="1"/>
          <c:tx>
            <c:v>S&amp;P 500 in USD</c:v>
          </c:tx>
          <c:spPr>
            <a:ln w="38100" cap="rnd">
              <a:solidFill>
                <a:srgbClr val="7030A0"/>
              </a:solidFill>
              <a:round/>
            </a:ln>
            <a:effectLst/>
          </c:spPr>
          <c:marker>
            <c:symbol val="none"/>
          </c:marker>
          <c:cat>
            <c:strRef>
              <c:extLst>
                <c:ext xmlns:c15="http://schemas.microsoft.com/office/drawing/2012/chart" uri="{02D57815-91ED-43cb-92C2-25804820EDAC}">
                  <c15:fullRef>
                    <c15:sqref>Data!$AA$3:$AA$103</c15:sqref>
                  </c15:fullRef>
                </c:ext>
              </c:extLst>
              <c:f>Data!$AA$4:$AA$103</c:f>
              <c:strCache>
                <c:ptCount val="100"/>
                <c:pt idx="0">
                  <c:v>2019-05-10</c:v>
                </c:pt>
                <c:pt idx="1">
                  <c:v>2019-05-09</c:v>
                </c:pt>
                <c:pt idx="2">
                  <c:v>2019-05-08</c:v>
                </c:pt>
                <c:pt idx="3">
                  <c:v>2019-05-07</c:v>
                </c:pt>
                <c:pt idx="4">
                  <c:v>2019-05-06</c:v>
                </c:pt>
                <c:pt idx="5">
                  <c:v>2019-05-03</c:v>
                </c:pt>
                <c:pt idx="6">
                  <c:v>2019-05-02</c:v>
                </c:pt>
                <c:pt idx="7">
                  <c:v>2019-05-01</c:v>
                </c:pt>
                <c:pt idx="8">
                  <c:v>2019-04-30</c:v>
                </c:pt>
                <c:pt idx="9">
                  <c:v>2019-04-29</c:v>
                </c:pt>
                <c:pt idx="10">
                  <c:v>2019-04-26</c:v>
                </c:pt>
                <c:pt idx="11">
                  <c:v>2019-04-25</c:v>
                </c:pt>
                <c:pt idx="12">
                  <c:v>2019-04-24</c:v>
                </c:pt>
                <c:pt idx="13">
                  <c:v>2019-04-23</c:v>
                </c:pt>
                <c:pt idx="14">
                  <c:v>2019-04-22</c:v>
                </c:pt>
                <c:pt idx="15">
                  <c:v>2019-04-18</c:v>
                </c:pt>
                <c:pt idx="16">
                  <c:v>2019-04-17</c:v>
                </c:pt>
                <c:pt idx="17">
                  <c:v>2019-04-16</c:v>
                </c:pt>
                <c:pt idx="18">
                  <c:v>2019-04-15</c:v>
                </c:pt>
                <c:pt idx="19">
                  <c:v>2019-04-12</c:v>
                </c:pt>
                <c:pt idx="20">
                  <c:v>2019-04-11</c:v>
                </c:pt>
                <c:pt idx="21">
                  <c:v>2019-04-10</c:v>
                </c:pt>
                <c:pt idx="22">
                  <c:v>2019-04-09</c:v>
                </c:pt>
                <c:pt idx="23">
                  <c:v>2019-04-08</c:v>
                </c:pt>
                <c:pt idx="24">
                  <c:v>2019-04-05</c:v>
                </c:pt>
                <c:pt idx="25">
                  <c:v>2019-04-04</c:v>
                </c:pt>
                <c:pt idx="26">
                  <c:v>2019-04-03</c:v>
                </c:pt>
                <c:pt idx="27">
                  <c:v>2019-04-02</c:v>
                </c:pt>
                <c:pt idx="28">
                  <c:v>2019-04-01</c:v>
                </c:pt>
                <c:pt idx="29">
                  <c:v>2019-03-29</c:v>
                </c:pt>
                <c:pt idx="30">
                  <c:v>2019-03-28</c:v>
                </c:pt>
                <c:pt idx="31">
                  <c:v>2019-03-27</c:v>
                </c:pt>
                <c:pt idx="32">
                  <c:v>2019-03-26</c:v>
                </c:pt>
                <c:pt idx="33">
                  <c:v>2019-03-25</c:v>
                </c:pt>
                <c:pt idx="34">
                  <c:v>2019-03-22</c:v>
                </c:pt>
                <c:pt idx="35">
                  <c:v>2019-03-21</c:v>
                </c:pt>
                <c:pt idx="36">
                  <c:v>2019-03-20</c:v>
                </c:pt>
                <c:pt idx="37">
                  <c:v>2019-03-19</c:v>
                </c:pt>
                <c:pt idx="38">
                  <c:v>2019-03-18</c:v>
                </c:pt>
                <c:pt idx="39">
                  <c:v>2019-03-15</c:v>
                </c:pt>
                <c:pt idx="40">
                  <c:v>2019-03-14</c:v>
                </c:pt>
                <c:pt idx="41">
                  <c:v>2019-03-13</c:v>
                </c:pt>
                <c:pt idx="42">
                  <c:v>2019-03-12</c:v>
                </c:pt>
                <c:pt idx="43">
                  <c:v>2019-03-11</c:v>
                </c:pt>
                <c:pt idx="44">
                  <c:v>2019-03-08</c:v>
                </c:pt>
                <c:pt idx="45">
                  <c:v>2019-03-07</c:v>
                </c:pt>
                <c:pt idx="46">
                  <c:v>2019-03-06</c:v>
                </c:pt>
                <c:pt idx="47">
                  <c:v>2019-03-05</c:v>
                </c:pt>
                <c:pt idx="48">
                  <c:v>2019-03-04</c:v>
                </c:pt>
                <c:pt idx="49">
                  <c:v>2019-03-01</c:v>
                </c:pt>
                <c:pt idx="50">
                  <c:v>2019-02-28</c:v>
                </c:pt>
                <c:pt idx="51">
                  <c:v>2019-02-27</c:v>
                </c:pt>
                <c:pt idx="52">
                  <c:v>2019-02-26</c:v>
                </c:pt>
                <c:pt idx="53">
                  <c:v>2019-02-25</c:v>
                </c:pt>
                <c:pt idx="54">
                  <c:v>2019-02-22</c:v>
                </c:pt>
                <c:pt idx="55">
                  <c:v>2019-02-21</c:v>
                </c:pt>
                <c:pt idx="56">
                  <c:v>2019-02-20</c:v>
                </c:pt>
                <c:pt idx="57">
                  <c:v>2019-02-19</c:v>
                </c:pt>
                <c:pt idx="58">
                  <c:v>2019-02-15</c:v>
                </c:pt>
                <c:pt idx="59">
                  <c:v>2019-02-14</c:v>
                </c:pt>
                <c:pt idx="60">
                  <c:v>2019-02-13</c:v>
                </c:pt>
                <c:pt idx="61">
                  <c:v>2019-02-12</c:v>
                </c:pt>
                <c:pt idx="62">
                  <c:v>2019-02-11</c:v>
                </c:pt>
                <c:pt idx="63">
                  <c:v>2019-02-08</c:v>
                </c:pt>
                <c:pt idx="64">
                  <c:v>2019-02-07</c:v>
                </c:pt>
                <c:pt idx="65">
                  <c:v>2019-02-06</c:v>
                </c:pt>
                <c:pt idx="66">
                  <c:v>2019-02-05</c:v>
                </c:pt>
                <c:pt idx="67">
                  <c:v>2019-02-04</c:v>
                </c:pt>
                <c:pt idx="68">
                  <c:v>2019-02-01</c:v>
                </c:pt>
                <c:pt idx="69">
                  <c:v>2019-01-31</c:v>
                </c:pt>
                <c:pt idx="70">
                  <c:v>2019-01-30</c:v>
                </c:pt>
                <c:pt idx="71">
                  <c:v>2019-01-29</c:v>
                </c:pt>
                <c:pt idx="72">
                  <c:v>2019-01-28</c:v>
                </c:pt>
                <c:pt idx="73">
                  <c:v>2019-01-25</c:v>
                </c:pt>
                <c:pt idx="74">
                  <c:v>2019-01-24</c:v>
                </c:pt>
                <c:pt idx="75">
                  <c:v>2019-01-23</c:v>
                </c:pt>
                <c:pt idx="76">
                  <c:v>2019-01-22</c:v>
                </c:pt>
                <c:pt idx="77">
                  <c:v>2019-01-18</c:v>
                </c:pt>
                <c:pt idx="78">
                  <c:v>2019-01-17</c:v>
                </c:pt>
                <c:pt idx="79">
                  <c:v>2019-01-16</c:v>
                </c:pt>
                <c:pt idx="80">
                  <c:v>2019-01-15</c:v>
                </c:pt>
                <c:pt idx="81">
                  <c:v>2019-01-14</c:v>
                </c:pt>
                <c:pt idx="82">
                  <c:v>2019-01-11</c:v>
                </c:pt>
                <c:pt idx="83">
                  <c:v>2019-01-10</c:v>
                </c:pt>
                <c:pt idx="84">
                  <c:v>2019-01-09</c:v>
                </c:pt>
                <c:pt idx="85">
                  <c:v>2019-01-08</c:v>
                </c:pt>
                <c:pt idx="86">
                  <c:v>2019-01-07</c:v>
                </c:pt>
                <c:pt idx="87">
                  <c:v>2019-01-04</c:v>
                </c:pt>
                <c:pt idx="88">
                  <c:v>2019-01-03</c:v>
                </c:pt>
                <c:pt idx="89">
                  <c:v>2019-01-02</c:v>
                </c:pt>
                <c:pt idx="90">
                  <c:v>2018-12-31</c:v>
                </c:pt>
                <c:pt idx="91">
                  <c:v>2018-12-28</c:v>
                </c:pt>
                <c:pt idx="92">
                  <c:v>2018-12-27</c:v>
                </c:pt>
                <c:pt idx="93">
                  <c:v>2018-12-26</c:v>
                </c:pt>
                <c:pt idx="94">
                  <c:v>2018-12-24</c:v>
                </c:pt>
                <c:pt idx="95">
                  <c:v>2018-12-21</c:v>
                </c:pt>
                <c:pt idx="96">
                  <c:v>2018-12-20</c:v>
                </c:pt>
                <c:pt idx="97">
                  <c:v>2018-12-19</c:v>
                </c:pt>
                <c:pt idx="98">
                  <c:v>2018-12-18</c:v>
                </c:pt>
                <c:pt idx="99">
                  <c:v>2018-12-17</c:v>
                </c:pt>
              </c:strCache>
            </c:strRef>
          </c:cat>
          <c:val>
            <c:numRef>
              <c:extLst>
                <c:ext xmlns:c15="http://schemas.microsoft.com/office/drawing/2012/chart" uri="{02D57815-91ED-43cb-92C2-25804820EDAC}">
                  <c15:fullRef>
                    <c15:sqref>Data!$AC$3:$AC$103</c15:sqref>
                  </c15:fullRef>
                </c:ext>
              </c:extLst>
              <c:f>Data!$AC$4:$AC$103</c:f>
              <c:numCache>
                <c:formatCode>General</c:formatCode>
                <c:ptCount val="100"/>
                <c:pt idx="0">
                  <c:v>2863.1</c:v>
                </c:pt>
                <c:pt idx="1">
                  <c:v>2859.84</c:v>
                </c:pt>
                <c:pt idx="2">
                  <c:v>2879.61</c:v>
                </c:pt>
                <c:pt idx="3">
                  <c:v>2913.03</c:v>
                </c:pt>
                <c:pt idx="4">
                  <c:v>2908.89</c:v>
                </c:pt>
                <c:pt idx="5">
                  <c:v>2929.21</c:v>
                </c:pt>
                <c:pt idx="6">
                  <c:v>2922.16</c:v>
                </c:pt>
                <c:pt idx="7">
                  <c:v>2952.33</c:v>
                </c:pt>
                <c:pt idx="8">
                  <c:v>2937.14</c:v>
                </c:pt>
                <c:pt idx="9">
                  <c:v>2940.58</c:v>
                </c:pt>
                <c:pt idx="10">
                  <c:v>2925.81</c:v>
                </c:pt>
                <c:pt idx="11">
                  <c:v>2928.99</c:v>
                </c:pt>
                <c:pt idx="12">
                  <c:v>2934</c:v>
                </c:pt>
                <c:pt idx="13">
                  <c:v>2909.99</c:v>
                </c:pt>
                <c:pt idx="14">
                  <c:v>2898.78</c:v>
                </c:pt>
                <c:pt idx="15">
                  <c:v>2904.81</c:v>
                </c:pt>
                <c:pt idx="16">
                  <c:v>2916.04</c:v>
                </c:pt>
                <c:pt idx="17">
                  <c:v>2912.26</c:v>
                </c:pt>
                <c:pt idx="18">
                  <c:v>2908.32</c:v>
                </c:pt>
                <c:pt idx="19">
                  <c:v>2900.86</c:v>
                </c:pt>
                <c:pt idx="20">
                  <c:v>2891.92</c:v>
                </c:pt>
                <c:pt idx="21">
                  <c:v>2881.37</c:v>
                </c:pt>
                <c:pt idx="22">
                  <c:v>2886.58</c:v>
                </c:pt>
                <c:pt idx="23">
                  <c:v>2888.46</c:v>
                </c:pt>
                <c:pt idx="24">
                  <c:v>2884.16</c:v>
                </c:pt>
                <c:pt idx="25">
                  <c:v>2873.99</c:v>
                </c:pt>
                <c:pt idx="26">
                  <c:v>2876.09</c:v>
                </c:pt>
                <c:pt idx="27">
                  <c:v>2868.24</c:v>
                </c:pt>
                <c:pt idx="28">
                  <c:v>2848.63</c:v>
                </c:pt>
                <c:pt idx="29">
                  <c:v>2828.27</c:v>
                </c:pt>
                <c:pt idx="30">
                  <c:v>2809.4</c:v>
                </c:pt>
                <c:pt idx="31">
                  <c:v>2819.72</c:v>
                </c:pt>
                <c:pt idx="32">
                  <c:v>2812.66</c:v>
                </c:pt>
                <c:pt idx="33">
                  <c:v>2796.01</c:v>
                </c:pt>
                <c:pt idx="34">
                  <c:v>2844.52</c:v>
                </c:pt>
                <c:pt idx="35">
                  <c:v>2819.72</c:v>
                </c:pt>
                <c:pt idx="36">
                  <c:v>2831.34</c:v>
                </c:pt>
                <c:pt idx="37">
                  <c:v>2840.76</c:v>
                </c:pt>
                <c:pt idx="38">
                  <c:v>2822.61</c:v>
                </c:pt>
                <c:pt idx="39">
                  <c:v>2810.79</c:v>
                </c:pt>
                <c:pt idx="40">
                  <c:v>2810.38</c:v>
                </c:pt>
                <c:pt idx="41">
                  <c:v>2799.78</c:v>
                </c:pt>
                <c:pt idx="42">
                  <c:v>2787.34</c:v>
                </c:pt>
                <c:pt idx="43">
                  <c:v>2747.61</c:v>
                </c:pt>
                <c:pt idx="44">
                  <c:v>2730.79</c:v>
                </c:pt>
                <c:pt idx="45">
                  <c:v>2766.53</c:v>
                </c:pt>
                <c:pt idx="46">
                  <c:v>2790.27</c:v>
                </c:pt>
                <c:pt idx="47">
                  <c:v>2794.41</c:v>
                </c:pt>
                <c:pt idx="48">
                  <c:v>2814.37</c:v>
                </c:pt>
                <c:pt idx="49">
                  <c:v>2798.22</c:v>
                </c:pt>
                <c:pt idx="50">
                  <c:v>2788.11</c:v>
                </c:pt>
                <c:pt idx="51">
                  <c:v>2787.5</c:v>
                </c:pt>
                <c:pt idx="52">
                  <c:v>2792.36</c:v>
                </c:pt>
                <c:pt idx="53">
                  <c:v>2804.35</c:v>
                </c:pt>
                <c:pt idx="54">
                  <c:v>2780.67</c:v>
                </c:pt>
                <c:pt idx="55">
                  <c:v>2780.24</c:v>
                </c:pt>
                <c:pt idx="56">
                  <c:v>2779.05</c:v>
                </c:pt>
                <c:pt idx="57">
                  <c:v>2769.28</c:v>
                </c:pt>
                <c:pt idx="58">
                  <c:v>2760.24</c:v>
                </c:pt>
                <c:pt idx="59">
                  <c:v>2743.5</c:v>
                </c:pt>
                <c:pt idx="60">
                  <c:v>2750.3</c:v>
                </c:pt>
                <c:pt idx="61">
                  <c:v>2722.61</c:v>
                </c:pt>
                <c:pt idx="62">
                  <c:v>2712.4</c:v>
                </c:pt>
                <c:pt idx="63">
                  <c:v>2692.36</c:v>
                </c:pt>
                <c:pt idx="64">
                  <c:v>2717.53</c:v>
                </c:pt>
                <c:pt idx="65">
                  <c:v>2735.05</c:v>
                </c:pt>
                <c:pt idx="66">
                  <c:v>2728.34</c:v>
                </c:pt>
                <c:pt idx="67">
                  <c:v>2706.49</c:v>
                </c:pt>
                <c:pt idx="68">
                  <c:v>2702.32</c:v>
                </c:pt>
                <c:pt idx="69">
                  <c:v>2685.49</c:v>
                </c:pt>
                <c:pt idx="70">
                  <c:v>2653.62</c:v>
                </c:pt>
                <c:pt idx="71">
                  <c:v>2644.89</c:v>
                </c:pt>
                <c:pt idx="72">
                  <c:v>2644.97</c:v>
                </c:pt>
                <c:pt idx="73">
                  <c:v>2657.44</c:v>
                </c:pt>
                <c:pt idx="74">
                  <c:v>2638.84</c:v>
                </c:pt>
                <c:pt idx="75">
                  <c:v>2643.48</c:v>
                </c:pt>
                <c:pt idx="76">
                  <c:v>2657.88</c:v>
                </c:pt>
                <c:pt idx="77">
                  <c:v>2651.27</c:v>
                </c:pt>
                <c:pt idx="78">
                  <c:v>2609.2800000000002</c:v>
                </c:pt>
                <c:pt idx="79">
                  <c:v>2614.75</c:v>
                </c:pt>
                <c:pt idx="80">
                  <c:v>2585.1</c:v>
                </c:pt>
                <c:pt idx="81">
                  <c:v>2580.31</c:v>
                </c:pt>
                <c:pt idx="82">
                  <c:v>2588.11</c:v>
                </c:pt>
                <c:pt idx="83">
                  <c:v>2573.5100000000002</c:v>
                </c:pt>
                <c:pt idx="84">
                  <c:v>2580</c:v>
                </c:pt>
                <c:pt idx="85">
                  <c:v>2568.11</c:v>
                </c:pt>
                <c:pt idx="86">
                  <c:v>2535.61</c:v>
                </c:pt>
                <c:pt idx="87">
                  <c:v>2474.33</c:v>
                </c:pt>
                <c:pt idx="88">
                  <c:v>2491.92</c:v>
                </c:pt>
                <c:pt idx="89">
                  <c:v>2476.96</c:v>
                </c:pt>
                <c:pt idx="90">
                  <c:v>2498.94</c:v>
                </c:pt>
                <c:pt idx="91">
                  <c:v>2498.77</c:v>
                </c:pt>
                <c:pt idx="92">
                  <c:v>2442.5</c:v>
                </c:pt>
                <c:pt idx="93">
                  <c:v>2363.12</c:v>
                </c:pt>
                <c:pt idx="94">
                  <c:v>2400.56</c:v>
                </c:pt>
                <c:pt idx="95">
                  <c:v>2465.38</c:v>
                </c:pt>
                <c:pt idx="96">
                  <c:v>2496.77</c:v>
                </c:pt>
                <c:pt idx="97">
                  <c:v>2547.0500000000002</c:v>
                </c:pt>
                <c:pt idx="98">
                  <c:v>2559.9</c:v>
                </c:pt>
                <c:pt idx="99">
                  <c:v>2590.75</c:v>
                </c:pt>
              </c:numCache>
            </c:numRef>
          </c:val>
          <c:smooth val="0"/>
          <c:extLst>
            <c:ext xmlns:c16="http://schemas.microsoft.com/office/drawing/2014/chart" uri="{C3380CC4-5D6E-409C-BE32-E72D297353CC}">
              <c16:uniqueId val="{00000002-3E2B-4C29-88D5-DDC23D767A66}"/>
            </c:ext>
          </c:extLst>
        </c:ser>
        <c:dLbls>
          <c:showLegendKey val="0"/>
          <c:showVal val="0"/>
          <c:showCatName val="0"/>
          <c:showSerName val="0"/>
          <c:showPercent val="0"/>
          <c:showBubbleSize val="0"/>
        </c:dLbls>
        <c:smooth val="0"/>
        <c:axId val="1033699464"/>
        <c:axId val="1033696184"/>
      </c:lineChart>
      <c:catAx>
        <c:axId val="1033699464"/>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SE"/>
          </a:p>
        </c:txPr>
        <c:crossAx val="1033696184"/>
        <c:crosses val="autoZero"/>
        <c:auto val="1"/>
        <c:lblAlgn val="ctr"/>
        <c:lblOffset val="100"/>
        <c:noMultiLvlLbl val="1"/>
      </c:catAx>
      <c:valAx>
        <c:axId val="1033696184"/>
        <c:scaling>
          <c:orientation val="minMax"/>
          <c:min val="1000"/>
        </c:scaling>
        <c:delete val="0"/>
        <c:axPos val="r"/>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E"/>
          </a:p>
        </c:txPr>
        <c:crossAx val="103369946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S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MSFT!$A$1</c:f>
          <c:strCache>
            <c:ptCount val="1"/>
            <c:pt idx="0">
              <c:v>Microsoft Corporation (MSFT)</c:v>
            </c:pt>
          </c:strCache>
        </c:strRef>
      </c:tx>
      <c:layout>
        <c:manualLayout>
          <c:xMode val="edge"/>
          <c:yMode val="edge"/>
          <c:x val="4.096331573590338E-2"/>
          <c:y val="0.60380216092613959"/>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SE"/>
        </a:p>
      </c:txPr>
    </c:title>
    <c:autoTitleDeleted val="0"/>
    <c:plotArea>
      <c:layout/>
      <c:lineChart>
        <c:grouping val="standard"/>
        <c:varyColors val="0"/>
        <c:ser>
          <c:idx val="0"/>
          <c:order val="0"/>
          <c:tx>
            <c:v>Value</c:v>
          </c:tx>
          <c:spPr>
            <a:ln w="28575" cap="rnd">
              <a:solidFill>
                <a:srgbClr val="9A57CD"/>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S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MSFT!$AA$1:$AA$16</c15:sqref>
                  </c15:fullRef>
                </c:ext>
              </c:extLst>
              <c:f>MSFT!$AA$2:$AA$16</c:f>
              <c:strCache>
                <c:ptCount val="15"/>
                <c:pt idx="0">
                  <c:v>20-Sep-19</c:v>
                </c:pt>
                <c:pt idx="1">
                  <c:v>19-Sep-19</c:v>
                </c:pt>
                <c:pt idx="2">
                  <c:v>18-Sep-19</c:v>
                </c:pt>
                <c:pt idx="3">
                  <c:v>17-Sep-19</c:v>
                </c:pt>
                <c:pt idx="4">
                  <c:v>16-Sep-19</c:v>
                </c:pt>
                <c:pt idx="5">
                  <c:v>13-Sep-19</c:v>
                </c:pt>
                <c:pt idx="6">
                  <c:v>12-Sep-19</c:v>
                </c:pt>
                <c:pt idx="7">
                  <c:v>11-Sep-19</c:v>
                </c:pt>
                <c:pt idx="8">
                  <c:v>10-Sep-19</c:v>
                </c:pt>
                <c:pt idx="9">
                  <c:v>09-Sep-19</c:v>
                </c:pt>
                <c:pt idx="10">
                  <c:v>06-Sep-19</c:v>
                </c:pt>
                <c:pt idx="11">
                  <c:v>05-Sep-19</c:v>
                </c:pt>
                <c:pt idx="12">
                  <c:v>04-Sep-19</c:v>
                </c:pt>
                <c:pt idx="13">
                  <c:v>03-Sep-19</c:v>
                </c:pt>
                <c:pt idx="14">
                  <c:v>30-Aug-19</c:v>
                </c:pt>
              </c:strCache>
            </c:strRef>
          </c:cat>
          <c:val>
            <c:numRef>
              <c:extLst>
                <c:ext xmlns:c15="http://schemas.microsoft.com/office/drawing/2012/chart" uri="{02D57815-91ED-43cb-92C2-25804820EDAC}">
                  <c15:fullRef>
                    <c15:sqref>MSFT!$AB$1:$AB$16</c15:sqref>
                  </c15:fullRef>
                </c:ext>
              </c:extLst>
              <c:f>MSFT!$AB$2:$AB$16</c:f>
              <c:numCache>
                <c:formatCode>0.00</c:formatCode>
                <c:ptCount val="15"/>
                <c:pt idx="0">
                  <c:v>141.01</c:v>
                </c:pt>
                <c:pt idx="1">
                  <c:v>140.30000000000001</c:v>
                </c:pt>
                <c:pt idx="2">
                  <c:v>137.36000000000001</c:v>
                </c:pt>
                <c:pt idx="3">
                  <c:v>136.96</c:v>
                </c:pt>
                <c:pt idx="4">
                  <c:v>135.83000000000001</c:v>
                </c:pt>
                <c:pt idx="5">
                  <c:v>137.78</c:v>
                </c:pt>
                <c:pt idx="6">
                  <c:v>137.85</c:v>
                </c:pt>
                <c:pt idx="7">
                  <c:v>135.91</c:v>
                </c:pt>
                <c:pt idx="8">
                  <c:v>136.80000000000001</c:v>
                </c:pt>
                <c:pt idx="9">
                  <c:v>139.59</c:v>
                </c:pt>
                <c:pt idx="10">
                  <c:v>140.03</c:v>
                </c:pt>
                <c:pt idx="11">
                  <c:v>139.11000000000001</c:v>
                </c:pt>
                <c:pt idx="12">
                  <c:v>137.30000000000001</c:v>
                </c:pt>
                <c:pt idx="13">
                  <c:v>136.61000000000001</c:v>
                </c:pt>
                <c:pt idx="14">
                  <c:v>139.15</c:v>
                </c:pt>
              </c:numCache>
            </c:numRef>
          </c:val>
          <c:smooth val="0"/>
          <c:extLst>
            <c:ext xmlns:c16="http://schemas.microsoft.com/office/drawing/2014/chart" uri="{C3380CC4-5D6E-409C-BE32-E72D297353CC}">
              <c16:uniqueId val="{00000000-6E13-4B9C-BE62-82565FA64B5E}"/>
            </c:ext>
          </c:extLst>
        </c:ser>
        <c:dLbls>
          <c:dLblPos val="t"/>
          <c:showLegendKey val="0"/>
          <c:showVal val="1"/>
          <c:showCatName val="0"/>
          <c:showSerName val="0"/>
          <c:showPercent val="0"/>
          <c:showBubbleSize val="0"/>
        </c:dLbls>
        <c:smooth val="0"/>
        <c:axId val="821737376"/>
        <c:axId val="821738360"/>
      </c:lineChart>
      <c:dateAx>
        <c:axId val="82173737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E"/>
          </a:p>
        </c:txPr>
        <c:crossAx val="821738360"/>
        <c:crosses val="autoZero"/>
        <c:auto val="1"/>
        <c:lblOffset val="100"/>
        <c:baseTimeUnit val="days"/>
      </c:dateAx>
      <c:valAx>
        <c:axId val="821738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E"/>
          </a:p>
        </c:txPr>
        <c:crossAx val="821737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S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XVIVO.ST!$A$1</c:f>
          <c:strCache>
            <c:ptCount val="1"/>
            <c:pt idx="0">
              <c:v>Xvivo Perfusion AB (publ) (XVIVO.ST)</c:v>
            </c:pt>
          </c:strCache>
        </c:strRef>
      </c:tx>
      <c:layout>
        <c:manualLayout>
          <c:xMode val="edge"/>
          <c:yMode val="edge"/>
          <c:x val="4.096331573590338E-2"/>
          <c:y val="0.60380216092613959"/>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SE"/>
        </a:p>
      </c:txPr>
    </c:title>
    <c:autoTitleDeleted val="0"/>
    <c:plotArea>
      <c:layout/>
      <c:lineChart>
        <c:grouping val="standard"/>
        <c:varyColors val="0"/>
        <c:ser>
          <c:idx val="0"/>
          <c:order val="0"/>
          <c:tx>
            <c:v>Value</c:v>
          </c:tx>
          <c:spPr>
            <a:ln w="28575" cap="rnd">
              <a:solidFill>
                <a:srgbClr val="9A57CD"/>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S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XVIVO.ST!$AA$1:$AA$16</c15:sqref>
                  </c15:fullRef>
                </c:ext>
              </c:extLst>
              <c:f>XVIVO.ST!$AA$2:$AA$16</c:f>
              <c:strCache>
                <c:ptCount val="15"/>
                <c:pt idx="0">
                  <c:v>06-Sep-19</c:v>
                </c:pt>
                <c:pt idx="1">
                  <c:v>05-Sep-19</c:v>
                </c:pt>
                <c:pt idx="2">
                  <c:v>04-Sep-19</c:v>
                </c:pt>
                <c:pt idx="3">
                  <c:v>03-Sep-19</c:v>
                </c:pt>
                <c:pt idx="4">
                  <c:v>02-Sep-19</c:v>
                </c:pt>
                <c:pt idx="5">
                  <c:v>30-Aug-19</c:v>
                </c:pt>
                <c:pt idx="6">
                  <c:v>29-Aug-19</c:v>
                </c:pt>
                <c:pt idx="7">
                  <c:v>28-Aug-19</c:v>
                </c:pt>
                <c:pt idx="8">
                  <c:v>27-Aug-19</c:v>
                </c:pt>
                <c:pt idx="9">
                  <c:v>26-Aug-19</c:v>
                </c:pt>
                <c:pt idx="10">
                  <c:v>23-Aug-19</c:v>
                </c:pt>
                <c:pt idx="11">
                  <c:v>22-Aug-19</c:v>
                </c:pt>
                <c:pt idx="12">
                  <c:v>21-Aug-19</c:v>
                </c:pt>
                <c:pt idx="13">
                  <c:v>20-Aug-19</c:v>
                </c:pt>
                <c:pt idx="14">
                  <c:v>19-Aug-19</c:v>
                </c:pt>
              </c:strCache>
            </c:strRef>
          </c:cat>
          <c:val>
            <c:numRef>
              <c:extLst>
                <c:ext xmlns:c15="http://schemas.microsoft.com/office/drawing/2012/chart" uri="{02D57815-91ED-43cb-92C2-25804820EDAC}">
                  <c15:fullRef>
                    <c15:sqref>XVIVO.ST!$AB$1:$AB$16</c15:sqref>
                  </c15:fullRef>
                </c:ext>
              </c:extLst>
              <c:f>XVIVO.ST!$AB$2:$AB$16</c:f>
              <c:numCache>
                <c:formatCode>0.00</c:formatCode>
                <c:ptCount val="15"/>
                <c:pt idx="0">
                  <c:v>167.4</c:v>
                </c:pt>
                <c:pt idx="1">
                  <c:v>169.8</c:v>
                </c:pt>
                <c:pt idx="2">
                  <c:v>168</c:v>
                </c:pt>
                <c:pt idx="3">
                  <c:v>166.6</c:v>
                </c:pt>
                <c:pt idx="4">
                  <c:v>169.4</c:v>
                </c:pt>
                <c:pt idx="5">
                  <c:v>173</c:v>
                </c:pt>
                <c:pt idx="6">
                  <c:v>176.8</c:v>
                </c:pt>
                <c:pt idx="7">
                  <c:v>182.6</c:v>
                </c:pt>
                <c:pt idx="8">
                  <c:v>181.4</c:v>
                </c:pt>
                <c:pt idx="9">
                  <c:v>183.8</c:v>
                </c:pt>
                <c:pt idx="10">
                  <c:v>181.4</c:v>
                </c:pt>
                <c:pt idx="11">
                  <c:v>187.8</c:v>
                </c:pt>
                <c:pt idx="12">
                  <c:v>176.2</c:v>
                </c:pt>
                <c:pt idx="13">
                  <c:v>173</c:v>
                </c:pt>
                <c:pt idx="14">
                  <c:v>171</c:v>
                </c:pt>
              </c:numCache>
            </c:numRef>
          </c:val>
          <c:smooth val="0"/>
          <c:extLst>
            <c:ext xmlns:c16="http://schemas.microsoft.com/office/drawing/2014/chart" uri="{C3380CC4-5D6E-409C-BE32-E72D297353CC}">
              <c16:uniqueId val="{00000000-0DE2-40A7-B758-FDA7677E7252}"/>
            </c:ext>
          </c:extLst>
        </c:ser>
        <c:dLbls>
          <c:dLblPos val="t"/>
          <c:showLegendKey val="0"/>
          <c:showVal val="1"/>
          <c:showCatName val="0"/>
          <c:showSerName val="0"/>
          <c:showPercent val="0"/>
          <c:showBubbleSize val="0"/>
        </c:dLbls>
        <c:smooth val="0"/>
        <c:axId val="821737376"/>
        <c:axId val="821738360"/>
      </c:lineChart>
      <c:dateAx>
        <c:axId val="82173737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E"/>
          </a:p>
        </c:txPr>
        <c:crossAx val="821738360"/>
        <c:crosses val="autoZero"/>
        <c:auto val="1"/>
        <c:lblOffset val="100"/>
        <c:baseTimeUnit val="days"/>
      </c:dateAx>
      <c:valAx>
        <c:axId val="821738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E"/>
          </a:p>
        </c:txPr>
        <c:crossAx val="821737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S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'1H3.SI'!$A$1</c:f>
          <c:strCache>
            <c:ptCount val="1"/>
            <c:pt idx="0">
              <c:v>Clearbridge Health Limited (1H3.SI)</c:v>
            </c:pt>
          </c:strCache>
        </c:strRef>
      </c:tx>
      <c:layout>
        <c:manualLayout>
          <c:xMode val="edge"/>
          <c:yMode val="edge"/>
          <c:x val="4.096331573590338E-2"/>
          <c:y val="0.60380216092613959"/>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SE"/>
        </a:p>
      </c:txPr>
    </c:title>
    <c:autoTitleDeleted val="0"/>
    <c:plotArea>
      <c:layout/>
      <c:lineChart>
        <c:grouping val="standard"/>
        <c:varyColors val="0"/>
        <c:ser>
          <c:idx val="0"/>
          <c:order val="0"/>
          <c:tx>
            <c:v>Value</c:v>
          </c:tx>
          <c:spPr>
            <a:ln w="28575" cap="rnd">
              <a:solidFill>
                <a:srgbClr val="9A57CD"/>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S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'1H3.SI'!$AA$1:$AA$16</c15:sqref>
                  </c15:fullRef>
                </c:ext>
              </c:extLst>
              <c:f>'1H3.SI'!$AA$2:$AA$16</c:f>
              <c:strCache>
                <c:ptCount val="15"/>
                <c:pt idx="0">
                  <c:v>06-Sep-19</c:v>
                </c:pt>
                <c:pt idx="1">
                  <c:v>05-Sep-19</c:v>
                </c:pt>
                <c:pt idx="2">
                  <c:v>04-Sep-19</c:v>
                </c:pt>
                <c:pt idx="3">
                  <c:v>03-Sep-19</c:v>
                </c:pt>
                <c:pt idx="4">
                  <c:v>02-Sep-19</c:v>
                </c:pt>
                <c:pt idx="5">
                  <c:v>30-Aug-19</c:v>
                </c:pt>
                <c:pt idx="6">
                  <c:v>29-Aug-19</c:v>
                </c:pt>
                <c:pt idx="7">
                  <c:v>28-Aug-19</c:v>
                </c:pt>
                <c:pt idx="8">
                  <c:v>27-Aug-19</c:v>
                </c:pt>
                <c:pt idx="9">
                  <c:v>26-Aug-19</c:v>
                </c:pt>
                <c:pt idx="10">
                  <c:v>23-Aug-19</c:v>
                </c:pt>
                <c:pt idx="11">
                  <c:v>22-Aug-19</c:v>
                </c:pt>
                <c:pt idx="12">
                  <c:v>21-Aug-19</c:v>
                </c:pt>
                <c:pt idx="13">
                  <c:v>20-Aug-19</c:v>
                </c:pt>
                <c:pt idx="14">
                  <c:v>19-Aug-19</c:v>
                </c:pt>
              </c:strCache>
            </c:strRef>
          </c:cat>
          <c:val>
            <c:numRef>
              <c:extLst>
                <c:ext xmlns:c15="http://schemas.microsoft.com/office/drawing/2012/chart" uri="{02D57815-91ED-43cb-92C2-25804820EDAC}">
                  <c15:fullRef>
                    <c15:sqref>'1H3.SI'!$AB$1:$AB$16</c15:sqref>
                  </c15:fullRef>
                </c:ext>
              </c:extLst>
              <c:f>'1H3.SI'!$AB$2:$AB$16</c:f>
              <c:numCache>
                <c:formatCode>0.00</c:formatCode>
                <c:ptCount val="15"/>
                <c:pt idx="0">
                  <c:v>0.14299999999999999</c:v>
                </c:pt>
                <c:pt idx="1">
                  <c:v>0.14199999999999999</c:v>
                </c:pt>
                <c:pt idx="2">
                  <c:v>0.14199999999999999</c:v>
                </c:pt>
                <c:pt idx="3">
                  <c:v>0.14000000000000001</c:v>
                </c:pt>
                <c:pt idx="4">
                  <c:v>0.14099999999999999</c:v>
                </c:pt>
                <c:pt idx="5">
                  <c:v>0.14299999999999999</c:v>
                </c:pt>
                <c:pt idx="6">
                  <c:v>0.13700000000000001</c:v>
                </c:pt>
                <c:pt idx="7">
                  <c:v>0.14000000000000001</c:v>
                </c:pt>
                <c:pt idx="8">
                  <c:v>0.14000000000000001</c:v>
                </c:pt>
                <c:pt idx="9">
                  <c:v>0.14000000000000001</c:v>
                </c:pt>
                <c:pt idx="10">
                  <c:v>0.14299999999999999</c:v>
                </c:pt>
                <c:pt idx="11">
                  <c:v>0.14699999999999999</c:v>
                </c:pt>
                <c:pt idx="12">
                  <c:v>0.15</c:v>
                </c:pt>
                <c:pt idx="13">
                  <c:v>0.14299999999999999</c:v>
                </c:pt>
                <c:pt idx="14">
                  <c:v>0.14099999999999999</c:v>
                </c:pt>
              </c:numCache>
            </c:numRef>
          </c:val>
          <c:smooth val="0"/>
          <c:extLst>
            <c:ext xmlns:c16="http://schemas.microsoft.com/office/drawing/2014/chart" uri="{C3380CC4-5D6E-409C-BE32-E72D297353CC}">
              <c16:uniqueId val="{00000000-04DE-47D9-8395-8F71DC2F467D}"/>
            </c:ext>
          </c:extLst>
        </c:ser>
        <c:dLbls>
          <c:dLblPos val="t"/>
          <c:showLegendKey val="0"/>
          <c:showVal val="1"/>
          <c:showCatName val="0"/>
          <c:showSerName val="0"/>
          <c:showPercent val="0"/>
          <c:showBubbleSize val="0"/>
        </c:dLbls>
        <c:smooth val="0"/>
        <c:axId val="821737376"/>
        <c:axId val="821738360"/>
      </c:lineChart>
      <c:dateAx>
        <c:axId val="82173737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E"/>
          </a:p>
        </c:txPr>
        <c:crossAx val="821738360"/>
        <c:crosses val="autoZero"/>
        <c:auto val="1"/>
        <c:lblOffset val="100"/>
        <c:baseTimeUnit val="days"/>
      </c:dateAx>
      <c:valAx>
        <c:axId val="821738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E"/>
          </a:p>
        </c:txPr>
        <c:crossAx val="821737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S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AMZN!$A$1</c:f>
          <c:strCache>
            <c:ptCount val="1"/>
            <c:pt idx="0">
              <c:v>Amazon.com, Inc. (AMZN)</c:v>
            </c:pt>
          </c:strCache>
        </c:strRef>
      </c:tx>
      <c:layout>
        <c:manualLayout>
          <c:xMode val="edge"/>
          <c:yMode val="edge"/>
          <c:x val="4.096331573590338E-2"/>
          <c:y val="0.60380216092613959"/>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SE"/>
        </a:p>
      </c:txPr>
    </c:title>
    <c:autoTitleDeleted val="0"/>
    <c:plotArea>
      <c:layout/>
      <c:lineChart>
        <c:grouping val="standard"/>
        <c:varyColors val="0"/>
        <c:ser>
          <c:idx val="0"/>
          <c:order val="0"/>
          <c:tx>
            <c:v>Value</c:v>
          </c:tx>
          <c:spPr>
            <a:ln w="28575" cap="rnd">
              <a:solidFill>
                <a:srgbClr val="9A57CD"/>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S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AMZN!$AA$1:$AA$16</c15:sqref>
                  </c15:fullRef>
                </c:ext>
              </c:extLst>
              <c:f>AMZN!$AA$2:$AA$16</c:f>
              <c:strCache>
                <c:ptCount val="15"/>
                <c:pt idx="0">
                  <c:v>05-Sep-19</c:v>
                </c:pt>
                <c:pt idx="1">
                  <c:v>04-Sep-19</c:v>
                </c:pt>
                <c:pt idx="2">
                  <c:v>03-Sep-19</c:v>
                </c:pt>
                <c:pt idx="3">
                  <c:v>30-Aug-19</c:v>
                </c:pt>
                <c:pt idx="4">
                  <c:v>29-Aug-19</c:v>
                </c:pt>
                <c:pt idx="5">
                  <c:v>28-Aug-19</c:v>
                </c:pt>
                <c:pt idx="6">
                  <c:v>27-Aug-19</c:v>
                </c:pt>
                <c:pt idx="7">
                  <c:v>26-Aug-19</c:v>
                </c:pt>
                <c:pt idx="8">
                  <c:v>23-Aug-19</c:v>
                </c:pt>
                <c:pt idx="9">
                  <c:v>22-Aug-19</c:v>
                </c:pt>
                <c:pt idx="10">
                  <c:v>21-Aug-19</c:v>
                </c:pt>
                <c:pt idx="11">
                  <c:v>20-Aug-19</c:v>
                </c:pt>
                <c:pt idx="12">
                  <c:v>19-Aug-19</c:v>
                </c:pt>
                <c:pt idx="13">
                  <c:v>16-Aug-19</c:v>
                </c:pt>
                <c:pt idx="14">
                  <c:v>15-Aug-19</c:v>
                </c:pt>
              </c:strCache>
            </c:strRef>
          </c:cat>
          <c:val>
            <c:numRef>
              <c:extLst>
                <c:ext xmlns:c15="http://schemas.microsoft.com/office/drawing/2012/chart" uri="{02D57815-91ED-43cb-92C2-25804820EDAC}">
                  <c15:fullRef>
                    <c15:sqref>AMZN!$AB$1:$AB$16</c15:sqref>
                  </c15:fullRef>
                </c:ext>
              </c:extLst>
              <c:f>AMZN!$AB$2:$AB$16</c:f>
              <c:numCache>
                <c:formatCode>0.00</c:formatCode>
                <c:ptCount val="15"/>
                <c:pt idx="0">
                  <c:v>1821.95</c:v>
                </c:pt>
                <c:pt idx="1">
                  <c:v>1805</c:v>
                </c:pt>
                <c:pt idx="2">
                  <c:v>1770</c:v>
                </c:pt>
                <c:pt idx="3">
                  <c:v>1797.49</c:v>
                </c:pt>
                <c:pt idx="4">
                  <c:v>1783</c:v>
                </c:pt>
                <c:pt idx="5">
                  <c:v>1755</c:v>
                </c:pt>
                <c:pt idx="6">
                  <c:v>1775.73</c:v>
                </c:pt>
                <c:pt idx="7">
                  <c:v>1766.91</c:v>
                </c:pt>
                <c:pt idx="8">
                  <c:v>1793.03</c:v>
                </c:pt>
                <c:pt idx="9">
                  <c:v>1828</c:v>
                </c:pt>
                <c:pt idx="10">
                  <c:v>1819.39</c:v>
                </c:pt>
                <c:pt idx="11">
                  <c:v>1814.5</c:v>
                </c:pt>
                <c:pt idx="12">
                  <c:v>1818.08</c:v>
                </c:pt>
                <c:pt idx="13">
                  <c:v>1792.89</c:v>
                </c:pt>
                <c:pt idx="14">
                  <c:v>1781.99</c:v>
                </c:pt>
              </c:numCache>
            </c:numRef>
          </c:val>
          <c:smooth val="0"/>
          <c:extLst>
            <c:ext xmlns:c16="http://schemas.microsoft.com/office/drawing/2014/chart" uri="{C3380CC4-5D6E-409C-BE32-E72D297353CC}">
              <c16:uniqueId val="{00000000-C412-4C20-8E49-494103EF30A5}"/>
            </c:ext>
          </c:extLst>
        </c:ser>
        <c:dLbls>
          <c:dLblPos val="t"/>
          <c:showLegendKey val="0"/>
          <c:showVal val="1"/>
          <c:showCatName val="0"/>
          <c:showSerName val="0"/>
          <c:showPercent val="0"/>
          <c:showBubbleSize val="0"/>
        </c:dLbls>
        <c:smooth val="0"/>
        <c:axId val="821737376"/>
        <c:axId val="821738360"/>
      </c:lineChart>
      <c:dateAx>
        <c:axId val="82173737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E"/>
          </a:p>
        </c:txPr>
        <c:crossAx val="821738360"/>
        <c:crosses val="autoZero"/>
        <c:auto val="1"/>
        <c:lblOffset val="100"/>
        <c:baseTimeUnit val="days"/>
      </c:dateAx>
      <c:valAx>
        <c:axId val="821738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E"/>
          </a:p>
        </c:txPr>
        <c:crossAx val="821737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S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'C31.SI'!$A$1</c:f>
          <c:strCache>
            <c:ptCount val="1"/>
            <c:pt idx="0">
              <c:v>CapitaLand Limited (C31.SI)</c:v>
            </c:pt>
          </c:strCache>
        </c:strRef>
      </c:tx>
      <c:layout>
        <c:manualLayout>
          <c:xMode val="edge"/>
          <c:yMode val="edge"/>
          <c:x val="4.096331573590338E-2"/>
          <c:y val="0.60380216092613959"/>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SE"/>
        </a:p>
      </c:txPr>
    </c:title>
    <c:autoTitleDeleted val="0"/>
    <c:plotArea>
      <c:layout/>
      <c:lineChart>
        <c:grouping val="standard"/>
        <c:varyColors val="0"/>
        <c:ser>
          <c:idx val="0"/>
          <c:order val="0"/>
          <c:tx>
            <c:v>Value</c:v>
          </c:tx>
          <c:spPr>
            <a:ln w="28575" cap="rnd">
              <a:solidFill>
                <a:srgbClr val="9A57CD"/>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S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'C31.SI'!$AA$1:$AA$16</c15:sqref>
                  </c15:fullRef>
                </c:ext>
              </c:extLst>
              <c:f>'C31.SI'!$AA$2:$AA$16</c:f>
              <c:strCache>
                <c:ptCount val="15"/>
                <c:pt idx="0">
                  <c:v>28-Aug-19</c:v>
                </c:pt>
                <c:pt idx="1">
                  <c:v>27-Aug-19</c:v>
                </c:pt>
                <c:pt idx="2">
                  <c:v>26-Aug-19</c:v>
                </c:pt>
                <c:pt idx="3">
                  <c:v>23-Aug-19</c:v>
                </c:pt>
                <c:pt idx="4">
                  <c:v>22-Aug-19</c:v>
                </c:pt>
                <c:pt idx="5">
                  <c:v>21-Aug-19</c:v>
                </c:pt>
                <c:pt idx="6">
                  <c:v>20-Aug-19</c:v>
                </c:pt>
                <c:pt idx="7">
                  <c:v>19-Aug-19</c:v>
                </c:pt>
                <c:pt idx="8">
                  <c:v>16-Aug-19</c:v>
                </c:pt>
                <c:pt idx="9">
                  <c:v>15-Aug-19</c:v>
                </c:pt>
                <c:pt idx="10">
                  <c:v>14-Aug-19</c:v>
                </c:pt>
                <c:pt idx="11">
                  <c:v>13-Aug-19</c:v>
                </c:pt>
                <c:pt idx="12">
                  <c:v>08-Aug-19</c:v>
                </c:pt>
                <c:pt idx="13">
                  <c:v>07-Aug-19</c:v>
                </c:pt>
                <c:pt idx="14">
                  <c:v>06-Aug-19</c:v>
                </c:pt>
              </c:strCache>
            </c:strRef>
          </c:cat>
          <c:val>
            <c:numRef>
              <c:extLst>
                <c:ext xmlns:c15="http://schemas.microsoft.com/office/drawing/2012/chart" uri="{02D57815-91ED-43cb-92C2-25804820EDAC}">
                  <c15:fullRef>
                    <c15:sqref>'C31.SI'!$AB$1:$AB$16</c15:sqref>
                  </c15:fullRef>
                </c:ext>
              </c:extLst>
              <c:f>'C31.SI'!$AB$2:$AB$16</c:f>
              <c:numCache>
                <c:formatCode>0.00</c:formatCode>
                <c:ptCount val="15"/>
                <c:pt idx="0">
                  <c:v>3.37</c:v>
                </c:pt>
                <c:pt idx="1">
                  <c:v>3.38</c:v>
                </c:pt>
                <c:pt idx="2">
                  <c:v>3.4</c:v>
                </c:pt>
                <c:pt idx="3">
                  <c:v>3.45</c:v>
                </c:pt>
                <c:pt idx="4">
                  <c:v>3.49</c:v>
                </c:pt>
                <c:pt idx="5">
                  <c:v>3.52</c:v>
                </c:pt>
                <c:pt idx="6">
                  <c:v>3.46</c:v>
                </c:pt>
                <c:pt idx="7">
                  <c:v>3.41</c:v>
                </c:pt>
                <c:pt idx="8">
                  <c:v>3.39</c:v>
                </c:pt>
                <c:pt idx="9">
                  <c:v>3.39</c:v>
                </c:pt>
                <c:pt idx="10">
                  <c:v>3.45</c:v>
                </c:pt>
                <c:pt idx="11">
                  <c:v>3.4</c:v>
                </c:pt>
                <c:pt idx="12">
                  <c:v>3.44</c:v>
                </c:pt>
                <c:pt idx="13">
                  <c:v>3.45</c:v>
                </c:pt>
                <c:pt idx="14">
                  <c:v>3.41</c:v>
                </c:pt>
              </c:numCache>
            </c:numRef>
          </c:val>
          <c:smooth val="0"/>
          <c:extLst>
            <c:ext xmlns:c16="http://schemas.microsoft.com/office/drawing/2014/chart" uri="{C3380CC4-5D6E-409C-BE32-E72D297353CC}">
              <c16:uniqueId val="{00000000-FF96-431F-B046-17B0EE64AAF0}"/>
            </c:ext>
          </c:extLst>
        </c:ser>
        <c:dLbls>
          <c:dLblPos val="t"/>
          <c:showLegendKey val="0"/>
          <c:showVal val="1"/>
          <c:showCatName val="0"/>
          <c:showSerName val="0"/>
          <c:showPercent val="0"/>
          <c:showBubbleSize val="0"/>
        </c:dLbls>
        <c:smooth val="0"/>
        <c:axId val="821737376"/>
        <c:axId val="821738360"/>
      </c:lineChart>
      <c:dateAx>
        <c:axId val="82173737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E"/>
          </a:p>
        </c:txPr>
        <c:crossAx val="821738360"/>
        <c:crosses val="autoZero"/>
        <c:auto val="1"/>
        <c:lblOffset val="100"/>
        <c:baseTimeUnit val="days"/>
      </c:dateAx>
      <c:valAx>
        <c:axId val="821738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E"/>
          </a:p>
        </c:txPr>
        <c:crossAx val="821737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S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Overview!$A$1</c:f>
          <c:strCache>
            <c:ptCount val="1"/>
            <c:pt idx="0">
              <c:v>Microsoft Corporation (MSFT)</c:v>
            </c:pt>
          </c:strCache>
        </c:strRef>
      </c:tx>
      <c:layout>
        <c:manualLayout>
          <c:xMode val="edge"/>
          <c:yMode val="edge"/>
          <c:x val="4.096331573590338E-2"/>
          <c:y val="0.60380216092613959"/>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SE"/>
        </a:p>
      </c:txPr>
    </c:title>
    <c:autoTitleDeleted val="0"/>
    <c:plotArea>
      <c:layout/>
      <c:lineChart>
        <c:grouping val="standard"/>
        <c:varyColors val="0"/>
        <c:ser>
          <c:idx val="0"/>
          <c:order val="0"/>
          <c:tx>
            <c:v>Value</c:v>
          </c:tx>
          <c:spPr>
            <a:ln w="28575" cap="rnd">
              <a:solidFill>
                <a:srgbClr val="9A57CD"/>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S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Overview!$AA$1:$AA$16</c15:sqref>
                  </c15:fullRef>
                </c:ext>
              </c:extLst>
              <c:f>Overview!$AA$2:$AA$16</c:f>
              <c:strCache>
                <c:ptCount val="15"/>
                <c:pt idx="0">
                  <c:v>20-Sep-19</c:v>
                </c:pt>
                <c:pt idx="1">
                  <c:v>19-Sep-19</c:v>
                </c:pt>
                <c:pt idx="2">
                  <c:v>18-Sep-19</c:v>
                </c:pt>
                <c:pt idx="3">
                  <c:v>17-Sep-19</c:v>
                </c:pt>
                <c:pt idx="4">
                  <c:v>16-Sep-19</c:v>
                </c:pt>
                <c:pt idx="5">
                  <c:v>13-Sep-19</c:v>
                </c:pt>
                <c:pt idx="6">
                  <c:v>12-Sep-19</c:v>
                </c:pt>
                <c:pt idx="7">
                  <c:v>11-Sep-19</c:v>
                </c:pt>
                <c:pt idx="8">
                  <c:v>10-Sep-19</c:v>
                </c:pt>
                <c:pt idx="9">
                  <c:v>09-Sep-19</c:v>
                </c:pt>
                <c:pt idx="10">
                  <c:v>06-Sep-19</c:v>
                </c:pt>
                <c:pt idx="11">
                  <c:v>05-Sep-19</c:v>
                </c:pt>
                <c:pt idx="12">
                  <c:v>04-Sep-19</c:v>
                </c:pt>
                <c:pt idx="13">
                  <c:v>03-Sep-19</c:v>
                </c:pt>
                <c:pt idx="14">
                  <c:v>30-Aug-19</c:v>
                </c:pt>
              </c:strCache>
            </c:strRef>
          </c:cat>
          <c:val>
            <c:numRef>
              <c:extLst>
                <c:ext xmlns:c15="http://schemas.microsoft.com/office/drawing/2012/chart" uri="{02D57815-91ED-43cb-92C2-25804820EDAC}">
                  <c15:fullRef>
                    <c15:sqref>Overview!$AB$1:$AB$16</c15:sqref>
                  </c15:fullRef>
                </c:ext>
              </c:extLst>
              <c:f>Overview!$AB$2:$AB$16</c:f>
              <c:numCache>
                <c:formatCode>0.00</c:formatCode>
                <c:ptCount val="15"/>
                <c:pt idx="0">
                  <c:v>141.01</c:v>
                </c:pt>
                <c:pt idx="1">
                  <c:v>140.30000000000001</c:v>
                </c:pt>
                <c:pt idx="2">
                  <c:v>137.36000000000001</c:v>
                </c:pt>
                <c:pt idx="3">
                  <c:v>136.96</c:v>
                </c:pt>
                <c:pt idx="4">
                  <c:v>135.83000000000001</c:v>
                </c:pt>
                <c:pt idx="5">
                  <c:v>137.78</c:v>
                </c:pt>
                <c:pt idx="6">
                  <c:v>137.85</c:v>
                </c:pt>
                <c:pt idx="7">
                  <c:v>135.91</c:v>
                </c:pt>
                <c:pt idx="8">
                  <c:v>136.80000000000001</c:v>
                </c:pt>
                <c:pt idx="9">
                  <c:v>139.59</c:v>
                </c:pt>
                <c:pt idx="10">
                  <c:v>140.03</c:v>
                </c:pt>
                <c:pt idx="11">
                  <c:v>139.11000000000001</c:v>
                </c:pt>
                <c:pt idx="12">
                  <c:v>137.30000000000001</c:v>
                </c:pt>
                <c:pt idx="13">
                  <c:v>136.61000000000001</c:v>
                </c:pt>
                <c:pt idx="14">
                  <c:v>139.15</c:v>
                </c:pt>
              </c:numCache>
            </c:numRef>
          </c:val>
          <c:smooth val="0"/>
          <c:extLst>
            <c:ext xmlns:c16="http://schemas.microsoft.com/office/drawing/2014/chart" uri="{C3380CC4-5D6E-409C-BE32-E72D297353CC}">
              <c16:uniqueId val="{00000000-7168-4CAD-8DA8-33D25ECB0FB7}"/>
            </c:ext>
          </c:extLst>
        </c:ser>
        <c:dLbls>
          <c:dLblPos val="t"/>
          <c:showLegendKey val="0"/>
          <c:showVal val="1"/>
          <c:showCatName val="0"/>
          <c:showSerName val="0"/>
          <c:showPercent val="0"/>
          <c:showBubbleSize val="0"/>
        </c:dLbls>
        <c:smooth val="0"/>
        <c:axId val="821737376"/>
        <c:axId val="821738360"/>
      </c:lineChart>
      <c:dateAx>
        <c:axId val="82173737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E"/>
          </a:p>
        </c:txPr>
        <c:crossAx val="821738360"/>
        <c:crosses val="autoZero"/>
        <c:auto val="1"/>
        <c:lblOffset val="100"/>
        <c:baseTimeUnit val="days"/>
      </c:dateAx>
      <c:valAx>
        <c:axId val="821738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SE"/>
          </a:p>
        </c:txPr>
        <c:crossAx val="821737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S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76200</xdr:colOff>
          <xdr:row>3</xdr:row>
          <xdr:rowOff>60960</xdr:rowOff>
        </xdr:from>
        <xdr:to>
          <xdr:col>7</xdr:col>
          <xdr:colOff>510540</xdr:colOff>
          <xdr:row>4</xdr:row>
          <xdr:rowOff>106680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0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E" sz="1100" b="0" i="0" u="none" strike="noStrike" baseline="0">
                  <a:solidFill>
                    <a:srgbClr val="000000"/>
                  </a:solidFill>
                  <a:latin typeface="Calibri"/>
                  <a:cs typeface="Calibri"/>
                </a:rPr>
                <a:t>Random ticker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83820</xdr:colOff>
          <xdr:row>5</xdr:row>
          <xdr:rowOff>60960</xdr:rowOff>
        </xdr:from>
        <xdr:to>
          <xdr:col>7</xdr:col>
          <xdr:colOff>518160</xdr:colOff>
          <xdr:row>6</xdr:row>
          <xdr:rowOff>106680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0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E" sz="1100" b="0" i="0" u="none" strike="noStrike" baseline="0">
                  <a:solidFill>
                    <a:srgbClr val="000000"/>
                  </a:solidFill>
                  <a:latin typeface="Calibri"/>
                  <a:cs typeface="Calibri"/>
                </a:rPr>
                <a:t>Get data!</a:t>
              </a:r>
            </a:p>
          </xdr:txBody>
        </xdr:sp>
        <xdr:clientData fPrintsWithSheet="0"/>
      </xdr:twoCellAnchor>
    </mc:Choice>
    <mc:Fallback/>
  </mc:AlternateContent>
  <xdr:twoCellAnchor>
    <xdr:from>
      <xdr:col>0</xdr:col>
      <xdr:colOff>0</xdr:colOff>
      <xdr:row>7</xdr:row>
      <xdr:rowOff>99934</xdr:rowOff>
    </xdr:from>
    <xdr:to>
      <xdr:col>8</xdr:col>
      <xdr:colOff>587115</xdr:colOff>
      <xdr:row>24</xdr:row>
      <xdr:rowOff>68705</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268795</xdr:colOff>
      <xdr:row>1</xdr:row>
      <xdr:rowOff>8799</xdr:rowOff>
    </xdr:from>
    <xdr:to>
      <xdr:col>5</xdr:col>
      <xdr:colOff>78678</xdr:colOff>
      <xdr:row>7</xdr:row>
      <xdr:rowOff>56264</xdr:rowOff>
    </xdr:to>
    <xdr:pic>
      <xdr:nvPicPr>
        <xdr:cNvPr id="10" name="Picture 9" descr="Bildresultat fÃ¶r yahoo finance">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68795" y="189273"/>
          <a:ext cx="3165357" cy="1130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593363</xdr:colOff>
      <xdr:row>7</xdr:row>
      <xdr:rowOff>32104</xdr:rowOff>
    </xdr:from>
    <xdr:to>
      <xdr:col>18</xdr:col>
      <xdr:colOff>290381</xdr:colOff>
      <xdr:row>28</xdr:row>
      <xdr:rowOff>35429</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777461" y="1300022"/>
          <a:ext cx="5811756" cy="3807079"/>
        </a:xfrm>
        <a:prstGeom prst="rect">
          <a:avLst/>
        </a:prstGeom>
      </xdr:spPr>
    </xdr:pic>
    <xdr:clientData/>
  </xdr:twoCellAnchor>
  <xdr:twoCellAnchor editAs="oneCell">
    <xdr:from>
      <xdr:col>13</xdr:col>
      <xdr:colOff>181132</xdr:colOff>
      <xdr:row>2</xdr:row>
      <xdr:rowOff>174886</xdr:rowOff>
    </xdr:from>
    <xdr:to>
      <xdr:col>15</xdr:col>
      <xdr:colOff>388006</xdr:colOff>
      <xdr:row>7</xdr:row>
      <xdr:rowOff>42972</xdr:rowOff>
    </xdr:to>
    <xdr:pic>
      <xdr:nvPicPr>
        <xdr:cNvPr id="12" name="Picture 11" descr="Bildresultat fÃ¶r clock transparent background">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394493" y="537148"/>
          <a:ext cx="1412333" cy="786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146155</xdr:colOff>
      <xdr:row>2</xdr:row>
      <xdr:rowOff>177385</xdr:rowOff>
    </xdr:from>
    <xdr:to>
      <xdr:col>13</xdr:col>
      <xdr:colOff>459211</xdr:colOff>
      <xdr:row>7</xdr:row>
      <xdr:rowOff>45471</xdr:rowOff>
    </xdr:to>
    <xdr:pic>
      <xdr:nvPicPr>
        <xdr:cNvPr id="15" name="Picture 14" descr="Bildresultat fÃ¶r clock transparent background">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260237" y="539647"/>
          <a:ext cx="1412333" cy="786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311046</xdr:colOff>
      <xdr:row>2</xdr:row>
      <xdr:rowOff>154899</xdr:rowOff>
    </xdr:from>
    <xdr:to>
      <xdr:col>11</xdr:col>
      <xdr:colOff>505756</xdr:colOff>
      <xdr:row>7</xdr:row>
      <xdr:rowOff>26108</xdr:rowOff>
    </xdr:to>
    <xdr:pic>
      <xdr:nvPicPr>
        <xdr:cNvPr id="16" name="Picture 15" descr="Bildresultat fÃ¶r clock transparent background">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173099" y="515846"/>
          <a:ext cx="1411236" cy="773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609600</xdr:colOff>
          <xdr:row>1</xdr:row>
          <xdr:rowOff>30480</xdr:rowOff>
        </xdr:from>
        <xdr:to>
          <xdr:col>16</xdr:col>
          <xdr:colOff>190500</xdr:colOff>
          <xdr:row>3</xdr:row>
          <xdr:rowOff>121920</xdr:rowOff>
        </xdr:to>
        <xdr:sp macro="" textlink="">
          <xdr:nvSpPr>
            <xdr:cNvPr id="14343" name="Button 7" hidden="1">
              <a:extLst>
                <a:ext uri="{63B3BB69-23CF-44E3-9099-C40C66FF867C}">
                  <a14:compatExt spid="_x0000_s14343"/>
                </a:ext>
                <a:ext uri="{FF2B5EF4-FFF2-40B4-BE49-F238E27FC236}">
                  <a16:creationId xmlns:a16="http://schemas.microsoft.com/office/drawing/2014/main" id="{00000000-0008-0000-0000-000007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E" sz="1100" b="0" i="0" u="none" strike="noStrike" baseline="0">
                  <a:solidFill>
                    <a:srgbClr val="000000"/>
                  </a:solidFill>
                  <a:latin typeface="Calibri"/>
                  <a:cs typeface="Calibri"/>
                </a:rPr>
                <a:t>Update time and 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1</xdr:row>
          <xdr:rowOff>60960</xdr:rowOff>
        </xdr:from>
        <xdr:to>
          <xdr:col>7</xdr:col>
          <xdr:colOff>510540</xdr:colOff>
          <xdr:row>2</xdr:row>
          <xdr:rowOff>106680</xdr:rowOff>
        </xdr:to>
        <xdr:sp macro="" textlink="">
          <xdr:nvSpPr>
            <xdr:cNvPr id="14344" name="Button 8" hidden="1">
              <a:extLst>
                <a:ext uri="{63B3BB69-23CF-44E3-9099-C40C66FF867C}">
                  <a14:compatExt spid="_x0000_s14344"/>
                </a:ext>
                <a:ext uri="{FF2B5EF4-FFF2-40B4-BE49-F238E27FC236}">
                  <a16:creationId xmlns:a16="http://schemas.microsoft.com/office/drawing/2014/main" id="{00000000-0008-0000-0000-000008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E" sz="900" b="0" i="0" u="none" strike="noStrike" baseline="0">
                  <a:solidFill>
                    <a:srgbClr val="000000"/>
                  </a:solidFill>
                  <a:latin typeface="Calibri"/>
                  <a:cs typeface="Calibri"/>
                </a:rPr>
                <a:t>finance.yahoo.com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xdr:colOff>
          <xdr:row>2</xdr:row>
          <xdr:rowOff>53340</xdr:rowOff>
        </xdr:from>
        <xdr:to>
          <xdr:col>2</xdr:col>
          <xdr:colOff>693420</xdr:colOff>
          <xdr:row>4</xdr:row>
          <xdr:rowOff>137160</xdr:rowOff>
        </xdr:to>
        <xdr:sp macro="" textlink="">
          <xdr:nvSpPr>
            <xdr:cNvPr id="297985" name="Button 1" hidden="1">
              <a:extLst>
                <a:ext uri="{63B3BB69-23CF-44E3-9099-C40C66FF867C}">
                  <a14:compatExt spid="_x0000_s297985"/>
                </a:ext>
                <a:ext uri="{FF2B5EF4-FFF2-40B4-BE49-F238E27FC236}">
                  <a16:creationId xmlns:a16="http://schemas.microsoft.com/office/drawing/2014/main" id="{00000000-0008-0000-0100-0000018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E" sz="1100" b="0" i="0" u="none" strike="noStrike" baseline="0">
                  <a:solidFill>
                    <a:srgbClr val="000000"/>
                  </a:solidFill>
                  <a:latin typeface="Calibri"/>
                  <a:cs typeface="Calibri"/>
                </a:rPr>
                <a:t>Delete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91440</xdr:colOff>
          <xdr:row>0</xdr:row>
          <xdr:rowOff>68580</xdr:rowOff>
        </xdr:from>
        <xdr:to>
          <xdr:col>3</xdr:col>
          <xdr:colOff>678180</xdr:colOff>
          <xdr:row>1</xdr:row>
          <xdr:rowOff>99060</xdr:rowOff>
        </xdr:to>
        <xdr:sp macro="" textlink="">
          <xdr:nvSpPr>
            <xdr:cNvPr id="297986" name="Button 2" hidden="1">
              <a:extLst>
                <a:ext uri="{63B3BB69-23CF-44E3-9099-C40C66FF867C}">
                  <a14:compatExt spid="_x0000_s297986"/>
                </a:ext>
                <a:ext uri="{FF2B5EF4-FFF2-40B4-BE49-F238E27FC236}">
                  <a16:creationId xmlns:a16="http://schemas.microsoft.com/office/drawing/2014/main" id="{00000000-0008-0000-0100-0000028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E" sz="1100" b="0" i="0" u="none" strike="noStrike" baseline="0">
                  <a:solidFill>
                    <a:srgbClr val="000000"/>
                  </a:solidFill>
                  <a:latin typeface="Calibri"/>
                  <a:cs typeface="Calibri"/>
                </a:rPr>
                <a:t>Company information</a:t>
              </a:r>
            </a:p>
          </xdr:txBody>
        </xdr:sp>
        <xdr:clientData fPrintsWithSheet="0"/>
      </xdr:twoCellAnchor>
    </mc:Choice>
    <mc:Fallback/>
  </mc:AlternateContent>
  <xdr:twoCellAnchor>
    <xdr:from>
      <xdr:col>4</xdr:col>
      <xdr:colOff>35943</xdr:colOff>
      <xdr:row>0</xdr:row>
      <xdr:rowOff>0</xdr:rowOff>
    </xdr:from>
    <xdr:to>
      <xdr:col>12</xdr:col>
      <xdr:colOff>35943</xdr:colOff>
      <xdr:row>11</xdr:row>
      <xdr:rowOff>43543</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121778</xdr:colOff>
      <xdr:row>5</xdr:row>
      <xdr:rowOff>138546</xdr:rowOff>
    </xdr:from>
    <xdr:to>
      <xdr:col>3</xdr:col>
      <xdr:colOff>625356</xdr:colOff>
      <xdr:row>8</xdr:row>
      <xdr:rowOff>30788</xdr:rowOff>
    </xdr:to>
    <xdr:pic>
      <xdr:nvPicPr>
        <xdr:cNvPr id="5" name="Picture 4" descr="Bildresultat fÃ¶r yahoo finance">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710798" y="1052946"/>
          <a:ext cx="1250338" cy="4408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xdr:colOff>
          <xdr:row>2</xdr:row>
          <xdr:rowOff>53340</xdr:rowOff>
        </xdr:from>
        <xdr:to>
          <xdr:col>2</xdr:col>
          <xdr:colOff>693420</xdr:colOff>
          <xdr:row>4</xdr:row>
          <xdr:rowOff>137160</xdr:rowOff>
        </xdr:to>
        <xdr:sp macro="" textlink="">
          <xdr:nvSpPr>
            <xdr:cNvPr id="283649" name="Button 1" hidden="1">
              <a:extLst>
                <a:ext uri="{63B3BB69-23CF-44E3-9099-C40C66FF867C}">
                  <a14:compatExt spid="_x0000_s283649"/>
                </a:ext>
                <a:ext uri="{FF2B5EF4-FFF2-40B4-BE49-F238E27FC236}">
                  <a16:creationId xmlns:a16="http://schemas.microsoft.com/office/drawing/2014/main" id="{00000000-0008-0000-0200-0000015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E" sz="1100" b="0" i="0" u="none" strike="noStrike" baseline="0">
                  <a:solidFill>
                    <a:srgbClr val="000000"/>
                  </a:solidFill>
                  <a:latin typeface="Calibri"/>
                  <a:cs typeface="Calibri"/>
                </a:rPr>
                <a:t>Delete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91440</xdr:colOff>
          <xdr:row>0</xdr:row>
          <xdr:rowOff>68580</xdr:rowOff>
        </xdr:from>
        <xdr:to>
          <xdr:col>3</xdr:col>
          <xdr:colOff>678180</xdr:colOff>
          <xdr:row>1</xdr:row>
          <xdr:rowOff>99060</xdr:rowOff>
        </xdr:to>
        <xdr:sp macro="" textlink="">
          <xdr:nvSpPr>
            <xdr:cNvPr id="283650" name="Button 2" hidden="1">
              <a:extLst>
                <a:ext uri="{63B3BB69-23CF-44E3-9099-C40C66FF867C}">
                  <a14:compatExt spid="_x0000_s283650"/>
                </a:ext>
                <a:ext uri="{FF2B5EF4-FFF2-40B4-BE49-F238E27FC236}">
                  <a16:creationId xmlns:a16="http://schemas.microsoft.com/office/drawing/2014/main" id="{00000000-0008-0000-0200-0000025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E" sz="1100" b="0" i="0" u="none" strike="noStrike" baseline="0">
                  <a:solidFill>
                    <a:srgbClr val="000000"/>
                  </a:solidFill>
                  <a:latin typeface="Calibri"/>
                  <a:cs typeface="Calibri"/>
                </a:rPr>
                <a:t>Company information</a:t>
              </a:r>
            </a:p>
          </xdr:txBody>
        </xdr:sp>
        <xdr:clientData fPrintsWithSheet="0"/>
      </xdr:twoCellAnchor>
    </mc:Choice>
    <mc:Fallback/>
  </mc:AlternateContent>
  <xdr:twoCellAnchor>
    <xdr:from>
      <xdr:col>4</xdr:col>
      <xdr:colOff>35943</xdr:colOff>
      <xdr:row>0</xdr:row>
      <xdr:rowOff>0</xdr:rowOff>
    </xdr:from>
    <xdr:to>
      <xdr:col>12</xdr:col>
      <xdr:colOff>35943</xdr:colOff>
      <xdr:row>11</xdr:row>
      <xdr:rowOff>43543</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121778</xdr:colOff>
      <xdr:row>5</xdr:row>
      <xdr:rowOff>138546</xdr:rowOff>
    </xdr:from>
    <xdr:to>
      <xdr:col>3</xdr:col>
      <xdr:colOff>625356</xdr:colOff>
      <xdr:row>8</xdr:row>
      <xdr:rowOff>30788</xdr:rowOff>
    </xdr:to>
    <xdr:pic>
      <xdr:nvPicPr>
        <xdr:cNvPr id="5" name="Picture 4" descr="Bildresultat fÃ¶r yahoo finance">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710798" y="1052946"/>
          <a:ext cx="1250338" cy="4408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xdr:colOff>
          <xdr:row>2</xdr:row>
          <xdr:rowOff>53340</xdr:rowOff>
        </xdr:from>
        <xdr:to>
          <xdr:col>2</xdr:col>
          <xdr:colOff>693420</xdr:colOff>
          <xdr:row>4</xdr:row>
          <xdr:rowOff>137160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0300-0000012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E" sz="1100" b="0" i="0" u="none" strike="noStrike" baseline="0">
                  <a:solidFill>
                    <a:srgbClr val="000000"/>
                  </a:solidFill>
                  <a:latin typeface="Calibri"/>
                  <a:cs typeface="Calibri"/>
                </a:rPr>
                <a:t>Delete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91440</xdr:colOff>
          <xdr:row>0</xdr:row>
          <xdr:rowOff>68580</xdr:rowOff>
        </xdr:from>
        <xdr:to>
          <xdr:col>3</xdr:col>
          <xdr:colOff>678180</xdr:colOff>
          <xdr:row>1</xdr:row>
          <xdr:rowOff>99060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0300-0000022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E" sz="1100" b="0" i="0" u="none" strike="noStrike" baseline="0">
                  <a:solidFill>
                    <a:srgbClr val="000000"/>
                  </a:solidFill>
                  <a:latin typeface="Calibri"/>
                  <a:cs typeface="Calibri"/>
                </a:rPr>
                <a:t>Company information</a:t>
              </a:r>
            </a:p>
          </xdr:txBody>
        </xdr:sp>
        <xdr:clientData fPrintsWithSheet="0"/>
      </xdr:twoCellAnchor>
    </mc:Choice>
    <mc:Fallback/>
  </mc:AlternateContent>
  <xdr:twoCellAnchor>
    <xdr:from>
      <xdr:col>4</xdr:col>
      <xdr:colOff>35943</xdr:colOff>
      <xdr:row>0</xdr:row>
      <xdr:rowOff>0</xdr:rowOff>
    </xdr:from>
    <xdr:to>
      <xdr:col>12</xdr:col>
      <xdr:colOff>35943</xdr:colOff>
      <xdr:row>11</xdr:row>
      <xdr:rowOff>43543</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121778</xdr:colOff>
      <xdr:row>5</xdr:row>
      <xdr:rowOff>138546</xdr:rowOff>
    </xdr:from>
    <xdr:to>
      <xdr:col>3</xdr:col>
      <xdr:colOff>625356</xdr:colOff>
      <xdr:row>8</xdr:row>
      <xdr:rowOff>30788</xdr:rowOff>
    </xdr:to>
    <xdr:pic>
      <xdr:nvPicPr>
        <xdr:cNvPr id="5" name="Picture 4" descr="Bildresultat fÃ¶r yahoo finance">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710798" y="1052946"/>
          <a:ext cx="1250338" cy="4408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xdr:colOff>
          <xdr:row>2</xdr:row>
          <xdr:rowOff>53340</xdr:rowOff>
        </xdr:from>
        <xdr:to>
          <xdr:col>2</xdr:col>
          <xdr:colOff>693420</xdr:colOff>
          <xdr:row>4</xdr:row>
          <xdr:rowOff>137160</xdr:rowOff>
        </xdr:to>
        <xdr:sp macro="" textlink="">
          <xdr:nvSpPr>
            <xdr:cNvPr id="268289" name="Button 1" hidden="1">
              <a:extLst>
                <a:ext uri="{63B3BB69-23CF-44E3-9099-C40C66FF867C}">
                  <a14:compatExt spid="_x0000_s268289"/>
                </a:ext>
                <a:ext uri="{FF2B5EF4-FFF2-40B4-BE49-F238E27FC236}">
                  <a16:creationId xmlns:a16="http://schemas.microsoft.com/office/drawing/2014/main" id="{00000000-0008-0000-0400-0000011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E" sz="1100" b="0" i="0" u="none" strike="noStrike" baseline="0">
                  <a:solidFill>
                    <a:srgbClr val="000000"/>
                  </a:solidFill>
                  <a:latin typeface="Calibri"/>
                  <a:cs typeface="Calibri"/>
                </a:rPr>
                <a:t>Delete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91440</xdr:colOff>
          <xdr:row>0</xdr:row>
          <xdr:rowOff>68580</xdr:rowOff>
        </xdr:from>
        <xdr:to>
          <xdr:col>3</xdr:col>
          <xdr:colOff>678180</xdr:colOff>
          <xdr:row>1</xdr:row>
          <xdr:rowOff>99060</xdr:rowOff>
        </xdr:to>
        <xdr:sp macro="" textlink="">
          <xdr:nvSpPr>
            <xdr:cNvPr id="268290" name="Button 2" hidden="1">
              <a:extLst>
                <a:ext uri="{63B3BB69-23CF-44E3-9099-C40C66FF867C}">
                  <a14:compatExt spid="_x0000_s268290"/>
                </a:ext>
                <a:ext uri="{FF2B5EF4-FFF2-40B4-BE49-F238E27FC236}">
                  <a16:creationId xmlns:a16="http://schemas.microsoft.com/office/drawing/2014/main" id="{00000000-0008-0000-0400-0000021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E" sz="1100" b="0" i="0" u="none" strike="noStrike" baseline="0">
                  <a:solidFill>
                    <a:srgbClr val="000000"/>
                  </a:solidFill>
                  <a:latin typeface="Calibri"/>
                  <a:cs typeface="Calibri"/>
                </a:rPr>
                <a:t>Company information</a:t>
              </a:r>
            </a:p>
          </xdr:txBody>
        </xdr:sp>
        <xdr:clientData fPrintsWithSheet="0"/>
      </xdr:twoCellAnchor>
    </mc:Choice>
    <mc:Fallback/>
  </mc:AlternateContent>
  <xdr:twoCellAnchor>
    <xdr:from>
      <xdr:col>4</xdr:col>
      <xdr:colOff>35943</xdr:colOff>
      <xdr:row>0</xdr:row>
      <xdr:rowOff>0</xdr:rowOff>
    </xdr:from>
    <xdr:to>
      <xdr:col>12</xdr:col>
      <xdr:colOff>35943</xdr:colOff>
      <xdr:row>11</xdr:row>
      <xdr:rowOff>43543</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121778</xdr:colOff>
      <xdr:row>5</xdr:row>
      <xdr:rowOff>138546</xdr:rowOff>
    </xdr:from>
    <xdr:to>
      <xdr:col>3</xdr:col>
      <xdr:colOff>625356</xdr:colOff>
      <xdr:row>8</xdr:row>
      <xdr:rowOff>30788</xdr:rowOff>
    </xdr:to>
    <xdr:pic>
      <xdr:nvPicPr>
        <xdr:cNvPr id="5" name="Picture 4" descr="Bildresultat fÃ¶r yahoo finance">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710798" y="1052946"/>
          <a:ext cx="1250338" cy="4408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xdr:colOff>
          <xdr:row>2</xdr:row>
          <xdr:rowOff>53340</xdr:rowOff>
        </xdr:from>
        <xdr:to>
          <xdr:col>2</xdr:col>
          <xdr:colOff>693420</xdr:colOff>
          <xdr:row>4</xdr:row>
          <xdr:rowOff>137160</xdr:rowOff>
        </xdr:to>
        <xdr:sp macro="" textlink="">
          <xdr:nvSpPr>
            <xdr:cNvPr id="257025" name="Button 1" hidden="1">
              <a:extLst>
                <a:ext uri="{63B3BB69-23CF-44E3-9099-C40C66FF867C}">
                  <a14:compatExt spid="_x0000_s257025"/>
                </a:ext>
                <a:ext uri="{FF2B5EF4-FFF2-40B4-BE49-F238E27FC236}">
                  <a16:creationId xmlns:a16="http://schemas.microsoft.com/office/drawing/2014/main" id="{00000000-0008-0000-0500-000001E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E" sz="1100" b="0" i="0" u="none" strike="noStrike" baseline="0">
                  <a:solidFill>
                    <a:srgbClr val="000000"/>
                  </a:solidFill>
                  <a:latin typeface="Calibri"/>
                  <a:cs typeface="Calibri"/>
                </a:rPr>
                <a:t>Delete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91440</xdr:colOff>
          <xdr:row>0</xdr:row>
          <xdr:rowOff>68580</xdr:rowOff>
        </xdr:from>
        <xdr:to>
          <xdr:col>3</xdr:col>
          <xdr:colOff>678180</xdr:colOff>
          <xdr:row>1</xdr:row>
          <xdr:rowOff>99060</xdr:rowOff>
        </xdr:to>
        <xdr:sp macro="" textlink="">
          <xdr:nvSpPr>
            <xdr:cNvPr id="257026" name="Button 2" hidden="1">
              <a:extLst>
                <a:ext uri="{63B3BB69-23CF-44E3-9099-C40C66FF867C}">
                  <a14:compatExt spid="_x0000_s257026"/>
                </a:ext>
                <a:ext uri="{FF2B5EF4-FFF2-40B4-BE49-F238E27FC236}">
                  <a16:creationId xmlns:a16="http://schemas.microsoft.com/office/drawing/2014/main" id="{00000000-0008-0000-0500-000002E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E" sz="1100" b="0" i="0" u="none" strike="noStrike" baseline="0">
                  <a:solidFill>
                    <a:srgbClr val="000000"/>
                  </a:solidFill>
                  <a:latin typeface="Calibri"/>
                  <a:cs typeface="Calibri"/>
                </a:rPr>
                <a:t>Company information</a:t>
              </a:r>
            </a:p>
          </xdr:txBody>
        </xdr:sp>
        <xdr:clientData fPrintsWithSheet="0"/>
      </xdr:twoCellAnchor>
    </mc:Choice>
    <mc:Fallback/>
  </mc:AlternateContent>
  <xdr:twoCellAnchor>
    <xdr:from>
      <xdr:col>4</xdr:col>
      <xdr:colOff>35943</xdr:colOff>
      <xdr:row>0</xdr:row>
      <xdr:rowOff>0</xdr:rowOff>
    </xdr:from>
    <xdr:to>
      <xdr:col>12</xdr:col>
      <xdr:colOff>35943</xdr:colOff>
      <xdr:row>11</xdr:row>
      <xdr:rowOff>43543</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121778</xdr:colOff>
      <xdr:row>5</xdr:row>
      <xdr:rowOff>138546</xdr:rowOff>
    </xdr:from>
    <xdr:to>
      <xdr:col>3</xdr:col>
      <xdr:colOff>625356</xdr:colOff>
      <xdr:row>8</xdr:row>
      <xdr:rowOff>30788</xdr:rowOff>
    </xdr:to>
    <xdr:pic>
      <xdr:nvPicPr>
        <xdr:cNvPr id="5" name="Picture 4" descr="Bildresultat fÃ¶r yahoo finance">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710798" y="1052946"/>
          <a:ext cx="1250338" cy="4408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xdr:colOff>
          <xdr:row>2</xdr:row>
          <xdr:rowOff>53340</xdr:rowOff>
        </xdr:from>
        <xdr:to>
          <xdr:col>2</xdr:col>
          <xdr:colOff>693420</xdr:colOff>
          <xdr:row>4</xdr:row>
          <xdr:rowOff>137160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6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E" sz="1100" b="0" i="0" u="none" strike="noStrike" baseline="0">
                  <a:solidFill>
                    <a:srgbClr val="000000"/>
                  </a:solidFill>
                  <a:latin typeface="Calibri"/>
                  <a:cs typeface="Calibri"/>
                </a:rPr>
                <a:t>Delete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91440</xdr:colOff>
          <xdr:row>0</xdr:row>
          <xdr:rowOff>68580</xdr:rowOff>
        </xdr:from>
        <xdr:to>
          <xdr:col>3</xdr:col>
          <xdr:colOff>678180</xdr:colOff>
          <xdr:row>1</xdr:row>
          <xdr:rowOff>99060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600-00000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E" sz="1100" b="0" i="0" u="none" strike="noStrike" baseline="0">
                  <a:solidFill>
                    <a:srgbClr val="000000"/>
                  </a:solidFill>
                  <a:latin typeface="Calibri"/>
                  <a:cs typeface="Calibri"/>
                </a:rPr>
                <a:t>Company information</a:t>
              </a:r>
            </a:p>
          </xdr:txBody>
        </xdr:sp>
        <xdr:clientData fPrintsWithSheet="0"/>
      </xdr:twoCellAnchor>
    </mc:Choice>
    <mc:Fallback/>
  </mc:AlternateContent>
  <xdr:twoCellAnchor>
    <xdr:from>
      <xdr:col>4</xdr:col>
      <xdr:colOff>35943</xdr:colOff>
      <xdr:row>0</xdr:row>
      <xdr:rowOff>0</xdr:rowOff>
    </xdr:from>
    <xdr:to>
      <xdr:col>12</xdr:col>
      <xdr:colOff>35943</xdr:colOff>
      <xdr:row>11</xdr:row>
      <xdr:rowOff>43543</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121778</xdr:colOff>
      <xdr:row>5</xdr:row>
      <xdr:rowOff>138546</xdr:rowOff>
    </xdr:from>
    <xdr:to>
      <xdr:col>3</xdr:col>
      <xdr:colOff>625356</xdr:colOff>
      <xdr:row>8</xdr:row>
      <xdr:rowOff>30788</xdr:rowOff>
    </xdr:to>
    <xdr:pic>
      <xdr:nvPicPr>
        <xdr:cNvPr id="5" name="Picture 4" descr="Bildresultat fÃ¶r yahoo finance">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708566" y="1062182"/>
          <a:ext cx="1250184" cy="446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2F1F0BA-8317-4A01-BBFE-C3D9355E9E6A}" autoFormatId="16" applyNumberFormats="0" applyBorderFormats="0" applyFontFormats="0" applyPatternFormats="0" applyAlignmentFormats="0" applyWidthHeightFormats="0">
  <queryTableRefresh nextId="8">
    <queryTableFields count="7">
      <queryTableField id="1" name="Date" tableColumnId="1"/>
      <queryTableField id="2" name="Open" tableColumnId="2"/>
      <queryTableField id="3" name="High" tableColumnId="3"/>
      <queryTableField id="4" name="Low" tableColumnId="4"/>
      <queryTableField id="5" name="Close*" tableColumnId="5"/>
      <queryTableField id="6" name="Adj Close**" tableColumnId="6"/>
      <queryTableField id="7" name="Volume"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3AFB2785-D210-492B-A082-2E778E854B30}" autoFormatId="16" applyNumberFormats="0" applyBorderFormats="0" applyFontFormats="0" applyPatternFormats="0" applyAlignmentFormats="0" applyWidthHeightFormats="0">
  <queryTableRefresh nextId="8">
    <queryTableFields count="7">
      <queryTableField id="1" name="Date" tableColumnId="1"/>
      <queryTableField id="2" name="Open" tableColumnId="2"/>
      <queryTableField id="3" name="High" tableColumnId="3"/>
      <queryTableField id="4" name="Low" tableColumnId="4"/>
      <queryTableField id="5" name="Close*" tableColumnId="5"/>
      <queryTableField id="6" name="Adj Close**" tableColumnId="6"/>
      <queryTableField id="7" name="Volume"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3BA3A1A-637A-4328-9574-E155C942B752}" name="Table_2" displayName="Table_2" ref="AE3:AK103" tableType="queryTable" totalsRowShown="0">
  <autoFilter ref="AE3:AK103" xr:uid="{AB90C543-E29F-47A0-8CC6-AB1DBF472339}"/>
  <tableColumns count="7">
    <tableColumn id="1" xr3:uid="{F1CD2430-F241-4ABB-AF6C-71ED22960309}" uniqueName="1" name="Date" queryTableFieldId="1" dataDxfId="13"/>
    <tableColumn id="2" xr3:uid="{3313E09E-77E8-49A4-9FE5-05CAF2C4C6E9}" uniqueName="2" name="Open" queryTableFieldId="2" dataDxfId="12"/>
    <tableColumn id="3" xr3:uid="{E4FAEAA7-B3E7-4F04-A5D6-82446A3EEF94}" uniqueName="3" name="High" queryTableFieldId="3" dataDxfId="11"/>
    <tableColumn id="4" xr3:uid="{845D7D2A-5428-4DEB-AEFB-F85288A6B9CC}" uniqueName="4" name="Low" queryTableFieldId="4" dataDxfId="10"/>
    <tableColumn id="5" xr3:uid="{563854AE-986A-4DDD-9A3E-050CC9B9DC20}" uniqueName="5" name="Close*" queryTableFieldId="5" dataDxfId="9"/>
    <tableColumn id="6" xr3:uid="{DBC2DB2D-329B-49FF-A530-C29643555C8C}" uniqueName="6" name="Adj Close**" queryTableFieldId="6" dataDxfId="8"/>
    <tableColumn id="7" xr3:uid="{4820EE77-9ABA-491E-979C-98042A93486B}" uniqueName="7" name="Volume" queryTableFieldId="7" dataDxfId="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D84D6CB-270F-464E-8889-624E28147BE1}" name="Table_2__2" displayName="Table_2__2" ref="AO3:AU103" tableType="queryTable" totalsRowShown="0">
  <autoFilter ref="AO3:AU103" xr:uid="{21E3E756-F03D-4FBC-81E1-F3557ABCA3D4}"/>
  <tableColumns count="7">
    <tableColumn id="1" xr3:uid="{5F42750B-DD67-41BA-8C68-79F219877EB7}" uniqueName="1" name="Date" queryTableFieldId="1" dataDxfId="6"/>
    <tableColumn id="2" xr3:uid="{3B3AA5E7-9CA6-43F5-A283-256F00EE7CEC}" uniqueName="2" name="Open" queryTableFieldId="2" dataDxfId="5"/>
    <tableColumn id="3" xr3:uid="{9118EB35-1059-4F44-B4F3-19B4CB6F2D28}" uniqueName="3" name="High" queryTableFieldId="3" dataDxfId="4"/>
    <tableColumn id="4" xr3:uid="{42D87D5D-A8F8-433B-A044-8C52A868C6EA}" uniqueName="4" name="Low" queryTableFieldId="4" dataDxfId="3"/>
    <tableColumn id="5" xr3:uid="{5FB5D163-9B4A-4CFE-901B-020311A8CC97}" uniqueName="5" name="Close*" queryTableFieldId="5" dataDxfId="2"/>
    <tableColumn id="6" xr3:uid="{7E8750AA-97BD-4ACA-9B5A-0E5BA5A28361}" uniqueName="6" name="Adj Close**" queryTableFieldId="6" dataDxfId="1"/>
    <tableColumn id="7" xr3:uid="{FCA3D3AE-2ACC-463C-B308-9E0BC65DB149}" uniqueName="7" name="Volume" queryTableFieldId="7"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2496F-65FD-40C4-A6AA-800FF9B8F06F}">
  <sheetPr codeName="Sheet4">
    <tabColor theme="7"/>
  </sheetPr>
  <dimension ref="E1:R105"/>
  <sheetViews>
    <sheetView showGridLines="0" zoomScale="99" workbookViewId="0"/>
  </sheetViews>
  <sheetFormatPr defaultRowHeight="14.4" x14ac:dyDescent="0.3"/>
  <cols>
    <col min="1" max="1" width="10.44140625" bestFit="1" customWidth="1"/>
    <col min="4" max="4" width="10.44140625" bestFit="1" customWidth="1"/>
    <col min="5" max="5" width="10.33203125" bestFit="1" customWidth="1"/>
    <col min="8" max="8" width="8.6640625" style="44" customWidth="1"/>
    <col min="9" max="9" width="10.109375" bestFit="1" customWidth="1"/>
    <col min="10" max="10" width="8.88671875" customWidth="1"/>
    <col min="11" max="11" width="8.88671875" bestFit="1" customWidth="1"/>
    <col min="12" max="13" width="8" bestFit="1" customWidth="1"/>
    <col min="14" max="14" width="8.6640625" bestFit="1" customWidth="1"/>
    <col min="15" max="15" width="8.88671875" customWidth="1"/>
    <col min="16" max="16" width="9" customWidth="1"/>
    <col min="18" max="18" width="9.6640625" style="65" customWidth="1"/>
  </cols>
  <sheetData>
    <row r="1" spans="5:18" x14ac:dyDescent="0.3">
      <c r="F1" s="41"/>
      <c r="G1" s="41"/>
      <c r="H1" s="46"/>
      <c r="I1" s="41"/>
      <c r="K1" s="41"/>
      <c r="L1" s="41"/>
      <c r="M1" s="41"/>
      <c r="R1" s="62"/>
    </row>
    <row r="2" spans="5:18" x14ac:dyDescent="0.3">
      <c r="F2" s="41"/>
      <c r="G2" s="56"/>
      <c r="H2" s="57"/>
      <c r="K2" s="2" t="s">
        <v>954</v>
      </c>
      <c r="M2" s="2" t="s">
        <v>949</v>
      </c>
      <c r="O2" s="2" t="s">
        <v>950</v>
      </c>
      <c r="Q2" s="60"/>
      <c r="R2" s="63"/>
    </row>
    <row r="3" spans="5:18" x14ac:dyDescent="0.3">
      <c r="F3" s="41"/>
      <c r="G3" s="58"/>
      <c r="H3" s="59"/>
      <c r="K3" s="61" t="str">
        <f>LEFT(RIGHT(R3,22),8)</f>
        <v>04:00:01</v>
      </c>
      <c r="M3" s="61" t="str">
        <f>LEFT(RIGHT(R4,22),8)</f>
        <v>17:00:01</v>
      </c>
      <c r="O3" s="61" t="str">
        <f>LEFT(RIGHT(R5,21),8)</f>
        <v>09:00:01</v>
      </c>
      <c r="Q3" s="41"/>
      <c r="R3" s="64" t="s">
        <v>964</v>
      </c>
    </row>
    <row r="4" spans="5:18" x14ac:dyDescent="0.3">
      <c r="F4" s="41"/>
      <c r="G4" s="73"/>
      <c r="H4" s="74"/>
      <c r="M4" s="41"/>
      <c r="R4" s="64" t="s">
        <v>965</v>
      </c>
    </row>
    <row r="5" spans="5:18" x14ac:dyDescent="0.3">
      <c r="F5" s="41"/>
      <c r="G5" s="75"/>
      <c r="H5" s="76"/>
      <c r="I5" s="80" t="s">
        <v>952</v>
      </c>
      <c r="R5" s="64" t="s">
        <v>966</v>
      </c>
    </row>
    <row r="6" spans="5:18" x14ac:dyDescent="0.3">
      <c r="F6" s="41"/>
      <c r="G6" s="77"/>
      <c r="H6" s="78"/>
      <c r="I6" s="81" t="s">
        <v>1777</v>
      </c>
      <c r="M6" s="45"/>
      <c r="N6" s="42"/>
      <c r="O6" s="42"/>
      <c r="P6" s="42"/>
      <c r="R6" s="64"/>
    </row>
    <row r="7" spans="5:18" x14ac:dyDescent="0.3">
      <c r="F7" s="41"/>
      <c r="G7" s="79"/>
      <c r="H7" s="82"/>
      <c r="I7" s="39"/>
      <c r="J7" s="44"/>
      <c r="K7" s="42"/>
      <c r="L7" s="42"/>
      <c r="M7" s="45"/>
      <c r="N7" s="42"/>
      <c r="O7" s="42"/>
      <c r="P7" s="42"/>
      <c r="R7" s="64"/>
    </row>
    <row r="8" spans="5:18" x14ac:dyDescent="0.3">
      <c r="F8" s="41"/>
      <c r="G8" s="40"/>
      <c r="H8" s="47"/>
      <c r="I8" s="39"/>
      <c r="J8" s="44"/>
      <c r="K8" s="42"/>
      <c r="L8" s="42"/>
      <c r="M8" s="45"/>
      <c r="N8" s="42"/>
      <c r="O8" s="42"/>
      <c r="P8" s="42"/>
      <c r="R8" s="64"/>
    </row>
    <row r="9" spans="5:18" x14ac:dyDescent="0.3">
      <c r="E9" s="44"/>
      <c r="F9" s="41"/>
      <c r="G9" s="40"/>
      <c r="H9" s="47"/>
      <c r="I9" s="39"/>
      <c r="J9" s="44"/>
      <c r="K9" s="42"/>
      <c r="L9" s="42"/>
      <c r="M9" s="45"/>
      <c r="N9" s="42"/>
      <c r="O9" s="42"/>
      <c r="P9" s="42"/>
    </row>
    <row r="10" spans="5:18" x14ac:dyDescent="0.3">
      <c r="E10" s="44"/>
      <c r="F10" s="41"/>
      <c r="G10" s="40"/>
      <c r="H10" s="47"/>
      <c r="I10" s="39"/>
      <c r="J10" s="44"/>
      <c r="K10" s="42"/>
      <c r="L10" s="42"/>
      <c r="M10" s="45"/>
      <c r="N10" s="42"/>
      <c r="O10" s="42"/>
      <c r="P10" s="42"/>
    </row>
    <row r="11" spans="5:18" x14ac:dyDescent="0.3">
      <c r="E11" s="44"/>
      <c r="F11" s="41"/>
      <c r="G11" s="41"/>
      <c r="H11" s="47"/>
      <c r="I11" s="39"/>
      <c r="J11" s="44"/>
      <c r="K11" s="42"/>
      <c r="L11" s="42"/>
      <c r="M11" s="45"/>
      <c r="N11" s="42"/>
      <c r="O11" s="42"/>
      <c r="P11" s="42"/>
    </row>
    <row r="12" spans="5:18" x14ac:dyDescent="0.3">
      <c r="E12" s="44"/>
      <c r="F12" s="6"/>
      <c r="G12" s="41"/>
      <c r="H12" s="47"/>
      <c r="I12" s="39"/>
      <c r="M12" s="45"/>
      <c r="N12" s="42"/>
      <c r="O12" s="42"/>
      <c r="P12" s="42"/>
    </row>
    <row r="13" spans="5:18" x14ac:dyDescent="0.3">
      <c r="E13" s="44"/>
      <c r="G13" s="41"/>
      <c r="H13" s="47"/>
      <c r="I13" s="39"/>
      <c r="M13" s="45"/>
      <c r="N13" s="42"/>
      <c r="O13" s="42"/>
      <c r="P13" s="42"/>
    </row>
    <row r="14" spans="5:18" x14ac:dyDescent="0.3">
      <c r="E14" s="44"/>
      <c r="H14" s="47"/>
      <c r="I14" s="39"/>
      <c r="M14" s="42"/>
      <c r="N14" s="42"/>
      <c r="O14" s="42"/>
      <c r="P14" s="42"/>
    </row>
    <row r="15" spans="5:18" x14ac:dyDescent="0.3">
      <c r="H15" s="47"/>
      <c r="I15" s="39"/>
      <c r="M15" s="42"/>
      <c r="N15" s="42"/>
      <c r="O15" s="42"/>
      <c r="P15" s="42"/>
    </row>
    <row r="16" spans="5:18" x14ac:dyDescent="0.3">
      <c r="H16" s="47"/>
      <c r="I16" s="39"/>
      <c r="M16" s="42"/>
      <c r="N16" s="42"/>
      <c r="O16" s="42"/>
      <c r="P16" s="42"/>
    </row>
    <row r="17" spans="8:16" x14ac:dyDescent="0.3">
      <c r="H17" s="47"/>
      <c r="I17" s="39"/>
      <c r="J17" s="44"/>
      <c r="K17" s="42"/>
      <c r="L17" s="42"/>
      <c r="M17" s="42"/>
      <c r="N17" s="42"/>
      <c r="O17" s="42"/>
      <c r="P17" s="42"/>
    </row>
    <row r="18" spans="8:16" x14ac:dyDescent="0.3">
      <c r="H18" s="47"/>
      <c r="I18" s="39"/>
      <c r="J18" s="44"/>
      <c r="K18" s="42"/>
      <c r="L18" s="42"/>
      <c r="M18" s="42"/>
      <c r="N18" s="42"/>
      <c r="O18" s="42"/>
      <c r="P18" s="42"/>
    </row>
    <row r="19" spans="8:16" x14ac:dyDescent="0.3">
      <c r="H19" s="47"/>
      <c r="I19" s="39"/>
      <c r="J19" s="44"/>
      <c r="K19" s="42"/>
      <c r="L19" s="42"/>
      <c r="M19" s="42"/>
      <c r="N19" s="42"/>
      <c r="O19" s="42"/>
      <c r="P19" s="42"/>
    </row>
    <row r="20" spans="8:16" x14ac:dyDescent="0.3">
      <c r="H20" s="47"/>
      <c r="I20" s="39"/>
      <c r="J20" s="44"/>
      <c r="K20" s="42"/>
      <c r="L20" s="42"/>
      <c r="M20" s="42"/>
      <c r="N20" s="42"/>
      <c r="O20" s="42"/>
      <c r="P20" s="42"/>
    </row>
    <row r="21" spans="8:16" x14ac:dyDescent="0.3">
      <c r="H21" s="47"/>
      <c r="I21" s="39"/>
      <c r="J21" s="44"/>
      <c r="K21" s="42"/>
      <c r="L21" s="42"/>
      <c r="M21" s="42"/>
      <c r="N21" s="42"/>
      <c r="O21" s="42"/>
      <c r="P21" s="42"/>
    </row>
    <row r="22" spans="8:16" x14ac:dyDescent="0.3">
      <c r="H22" s="47"/>
      <c r="I22" s="39"/>
      <c r="J22" s="44"/>
      <c r="K22" s="42"/>
      <c r="L22" s="42"/>
      <c r="M22" s="42"/>
      <c r="N22" s="42"/>
      <c r="O22" s="42"/>
      <c r="P22" s="42"/>
    </row>
    <row r="23" spans="8:16" x14ac:dyDescent="0.3">
      <c r="H23" s="47"/>
      <c r="I23" s="39"/>
      <c r="J23" s="44"/>
      <c r="K23" s="42"/>
      <c r="L23" s="42"/>
      <c r="M23" s="42"/>
      <c r="N23" s="42"/>
      <c r="O23" s="42"/>
      <c r="P23" s="42"/>
    </row>
    <row r="24" spans="8:16" x14ac:dyDescent="0.3">
      <c r="H24" s="47"/>
      <c r="I24" s="39"/>
      <c r="J24" s="44"/>
      <c r="K24" s="42"/>
      <c r="L24" s="42"/>
      <c r="M24" s="42"/>
      <c r="N24" s="42"/>
      <c r="O24" s="42"/>
      <c r="P24" s="42"/>
    </row>
    <row r="25" spans="8:16" x14ac:dyDescent="0.3">
      <c r="H25" s="47"/>
      <c r="I25" s="39"/>
      <c r="J25" s="44"/>
      <c r="K25" s="42"/>
      <c r="L25" s="42"/>
      <c r="M25" s="42"/>
      <c r="N25" s="42"/>
      <c r="O25" s="42"/>
      <c r="P25" s="42"/>
    </row>
    <row r="26" spans="8:16" x14ac:dyDescent="0.3">
      <c r="H26" s="47"/>
      <c r="I26" s="39"/>
      <c r="J26" s="44"/>
      <c r="K26" s="42"/>
      <c r="L26" s="42"/>
      <c r="M26" s="42"/>
      <c r="N26" s="42"/>
      <c r="O26" s="42"/>
      <c r="P26" s="42"/>
    </row>
    <row r="27" spans="8:16" x14ac:dyDescent="0.3">
      <c r="H27" s="47"/>
      <c r="I27" s="39"/>
      <c r="J27" s="44"/>
      <c r="K27" s="42"/>
      <c r="L27" s="42"/>
      <c r="M27" s="42"/>
      <c r="N27" s="42"/>
      <c r="O27" s="42"/>
      <c r="P27" s="42"/>
    </row>
    <row r="28" spans="8:16" x14ac:dyDescent="0.3">
      <c r="H28" s="47"/>
      <c r="I28" s="39"/>
      <c r="J28" s="44"/>
      <c r="K28" s="42"/>
      <c r="L28" s="42"/>
      <c r="M28" s="42"/>
      <c r="N28" s="42"/>
      <c r="O28" s="42"/>
      <c r="P28" s="42"/>
    </row>
    <row r="29" spans="8:16" x14ac:dyDescent="0.3">
      <c r="H29" s="47"/>
      <c r="I29" s="39"/>
      <c r="J29" s="44"/>
      <c r="K29" s="42"/>
      <c r="L29" s="42"/>
      <c r="M29" s="42"/>
      <c r="N29" s="42"/>
      <c r="O29" s="42"/>
      <c r="P29" s="42"/>
    </row>
    <row r="30" spans="8:16" x14ac:dyDescent="0.3">
      <c r="H30" s="47"/>
      <c r="I30" s="39"/>
      <c r="J30" s="44"/>
      <c r="K30" s="42"/>
      <c r="L30" s="42"/>
      <c r="M30" s="42"/>
      <c r="N30" s="42"/>
      <c r="O30" s="42"/>
      <c r="P30" s="42"/>
    </row>
    <row r="31" spans="8:16" x14ac:dyDescent="0.3">
      <c r="H31" s="47"/>
      <c r="I31" s="39"/>
      <c r="J31" s="44"/>
      <c r="K31" s="42"/>
      <c r="L31" s="42"/>
      <c r="M31" s="42"/>
      <c r="N31" s="42"/>
      <c r="O31" s="42"/>
      <c r="P31" s="42"/>
    </row>
    <row r="32" spans="8:16" x14ac:dyDescent="0.3">
      <c r="H32" s="47"/>
      <c r="I32" s="39"/>
      <c r="J32" s="44"/>
      <c r="K32" s="42"/>
      <c r="L32" s="42"/>
      <c r="M32" s="42"/>
      <c r="N32" s="42"/>
      <c r="O32" s="42"/>
      <c r="P32" s="42"/>
    </row>
    <row r="33" spans="8:16" x14ac:dyDescent="0.3">
      <c r="H33" s="47"/>
      <c r="I33" s="39"/>
      <c r="J33" s="44"/>
      <c r="K33" s="42"/>
      <c r="L33" s="42"/>
      <c r="M33" s="42"/>
      <c r="N33" s="42"/>
      <c r="O33" s="42"/>
      <c r="P33" s="42"/>
    </row>
    <row r="34" spans="8:16" x14ac:dyDescent="0.3">
      <c r="H34" s="47"/>
      <c r="I34" s="39"/>
      <c r="J34" s="44"/>
      <c r="K34" s="42"/>
      <c r="L34" s="42"/>
      <c r="M34" s="42"/>
      <c r="N34" s="42"/>
      <c r="O34" s="42"/>
      <c r="P34" s="42"/>
    </row>
    <row r="35" spans="8:16" x14ac:dyDescent="0.3">
      <c r="H35" s="47"/>
      <c r="I35" s="39"/>
      <c r="J35" s="44"/>
      <c r="K35" s="42"/>
      <c r="L35" s="42"/>
      <c r="M35" s="42"/>
      <c r="N35" s="42"/>
      <c r="O35" s="42"/>
      <c r="P35" s="42"/>
    </row>
    <row r="36" spans="8:16" x14ac:dyDescent="0.3">
      <c r="H36" s="47"/>
      <c r="I36" s="39"/>
      <c r="J36" s="44"/>
      <c r="K36" s="42"/>
      <c r="L36" s="42"/>
      <c r="M36" s="42"/>
      <c r="N36" s="42"/>
      <c r="O36" s="42"/>
      <c r="P36" s="42"/>
    </row>
    <row r="37" spans="8:16" x14ac:dyDescent="0.3">
      <c r="H37" s="47"/>
      <c r="I37" s="39"/>
      <c r="J37" s="44"/>
      <c r="K37" s="42"/>
      <c r="L37" s="42"/>
      <c r="M37" s="42"/>
      <c r="N37" s="42"/>
      <c r="O37" s="42"/>
      <c r="P37" s="42"/>
    </row>
    <row r="38" spans="8:16" x14ac:dyDescent="0.3">
      <c r="H38" s="47"/>
      <c r="I38" s="39"/>
      <c r="J38" s="44"/>
      <c r="K38" s="42"/>
      <c r="L38" s="42"/>
      <c r="M38" s="42"/>
      <c r="N38" s="42"/>
      <c r="O38" s="42"/>
      <c r="P38" s="42"/>
    </row>
    <row r="39" spans="8:16" x14ac:dyDescent="0.3">
      <c r="H39" s="47"/>
      <c r="I39" s="39"/>
      <c r="J39" s="44"/>
      <c r="K39" s="42"/>
      <c r="L39" s="42"/>
      <c r="M39" s="42"/>
      <c r="N39" s="42"/>
      <c r="O39" s="42"/>
      <c r="P39" s="42"/>
    </row>
    <row r="40" spans="8:16" x14ac:dyDescent="0.3">
      <c r="H40" s="47"/>
      <c r="I40" s="39"/>
      <c r="J40" s="44"/>
      <c r="K40" s="42"/>
      <c r="L40" s="42"/>
      <c r="M40" s="42"/>
      <c r="N40" s="42"/>
      <c r="O40" s="42"/>
      <c r="P40" s="42"/>
    </row>
    <row r="41" spans="8:16" x14ac:dyDescent="0.3">
      <c r="H41" s="47"/>
      <c r="I41" s="39"/>
      <c r="J41" s="44"/>
      <c r="K41" s="42"/>
      <c r="L41" s="42"/>
      <c r="M41" s="42"/>
      <c r="N41" s="42"/>
      <c r="O41" s="42"/>
      <c r="P41" s="42"/>
    </row>
    <row r="42" spans="8:16" x14ac:dyDescent="0.3">
      <c r="H42" s="47"/>
      <c r="I42" s="39"/>
      <c r="J42" s="44"/>
      <c r="K42" s="42"/>
      <c r="L42" s="42"/>
      <c r="M42" s="42"/>
      <c r="N42" s="42"/>
      <c r="O42" s="42"/>
      <c r="P42" s="42"/>
    </row>
    <row r="43" spans="8:16" x14ac:dyDescent="0.3">
      <c r="H43" s="47"/>
      <c r="I43" s="39"/>
      <c r="J43" s="44"/>
      <c r="K43" s="42"/>
      <c r="L43" s="42"/>
      <c r="M43" s="42"/>
      <c r="N43" s="42"/>
      <c r="O43" s="42"/>
      <c r="P43" s="42"/>
    </row>
    <row r="44" spans="8:16" x14ac:dyDescent="0.3">
      <c r="H44" s="47"/>
      <c r="I44" s="39"/>
      <c r="J44" s="44"/>
      <c r="K44" s="42"/>
      <c r="L44" s="42"/>
      <c r="M44" s="42"/>
      <c r="N44" s="42"/>
      <c r="O44" s="42"/>
      <c r="P44" s="42"/>
    </row>
    <row r="45" spans="8:16" x14ac:dyDescent="0.3">
      <c r="H45" s="47"/>
      <c r="I45" s="39"/>
      <c r="J45" s="44"/>
      <c r="K45" s="42"/>
      <c r="L45" s="42"/>
      <c r="M45" s="42"/>
      <c r="N45" s="42"/>
      <c r="O45" s="42"/>
      <c r="P45" s="42"/>
    </row>
    <row r="46" spans="8:16" x14ac:dyDescent="0.3">
      <c r="H46" s="47"/>
      <c r="I46" s="39"/>
      <c r="J46" s="44"/>
      <c r="K46" s="42"/>
      <c r="L46" s="42"/>
      <c r="M46" s="42"/>
      <c r="N46" s="42"/>
      <c r="O46" s="42"/>
      <c r="P46" s="42"/>
    </row>
    <row r="47" spans="8:16" x14ac:dyDescent="0.3">
      <c r="H47" s="47"/>
      <c r="I47" s="39"/>
      <c r="J47" s="44"/>
      <c r="K47" s="42"/>
      <c r="L47" s="42"/>
      <c r="M47" s="42"/>
      <c r="N47" s="42"/>
      <c r="O47" s="42"/>
      <c r="P47" s="42"/>
    </row>
    <row r="48" spans="8:16" x14ac:dyDescent="0.3">
      <c r="H48" s="47"/>
      <c r="I48" s="39"/>
      <c r="J48" s="44"/>
      <c r="K48" s="42"/>
      <c r="L48" s="42"/>
      <c r="M48" s="42"/>
      <c r="N48" s="42"/>
      <c r="O48" s="42"/>
      <c r="P48" s="42"/>
    </row>
    <row r="49" spans="8:16" x14ac:dyDescent="0.3">
      <c r="H49" s="47"/>
      <c r="I49" s="39"/>
      <c r="J49" s="44"/>
      <c r="K49" s="42"/>
      <c r="L49" s="42"/>
      <c r="M49" s="42"/>
      <c r="N49" s="42"/>
      <c r="O49" s="42"/>
      <c r="P49" s="42"/>
    </row>
    <row r="50" spans="8:16" x14ac:dyDescent="0.3">
      <c r="H50" s="47"/>
      <c r="I50" s="39"/>
      <c r="J50" s="44"/>
      <c r="K50" s="42"/>
      <c r="L50" s="42"/>
      <c r="M50" s="42"/>
      <c r="N50" s="42"/>
      <c r="O50" s="42"/>
      <c r="P50" s="42"/>
    </row>
    <row r="51" spans="8:16" x14ac:dyDescent="0.3">
      <c r="H51" s="47"/>
      <c r="I51" s="39"/>
      <c r="J51" s="44"/>
      <c r="K51" s="42"/>
      <c r="L51" s="42"/>
      <c r="M51" s="42"/>
      <c r="N51" s="42"/>
      <c r="O51" s="42"/>
      <c r="P51" s="42"/>
    </row>
    <row r="52" spans="8:16" x14ac:dyDescent="0.3">
      <c r="H52" s="47"/>
      <c r="I52" s="39"/>
      <c r="J52" s="44"/>
      <c r="K52" s="42"/>
      <c r="L52" s="42"/>
      <c r="M52" s="42"/>
      <c r="N52" s="42"/>
      <c r="O52" s="42"/>
      <c r="P52" s="42"/>
    </row>
    <row r="53" spans="8:16" x14ac:dyDescent="0.3">
      <c r="H53" s="47"/>
      <c r="I53" s="39"/>
      <c r="J53" s="44"/>
      <c r="K53" s="42"/>
      <c r="L53" s="42"/>
      <c r="M53" s="42"/>
      <c r="N53" s="42"/>
      <c r="O53" s="42"/>
      <c r="P53" s="42"/>
    </row>
    <row r="54" spans="8:16" x14ac:dyDescent="0.3">
      <c r="H54" s="47"/>
      <c r="I54" s="39"/>
      <c r="J54" s="44"/>
      <c r="K54" s="42"/>
      <c r="L54" s="42"/>
      <c r="M54" s="42"/>
      <c r="N54" s="42"/>
      <c r="O54" s="42"/>
      <c r="P54" s="42"/>
    </row>
    <row r="55" spans="8:16" x14ac:dyDescent="0.3">
      <c r="H55" s="47"/>
      <c r="I55" s="39"/>
      <c r="J55" s="44"/>
      <c r="K55" s="42"/>
      <c r="L55" s="42"/>
      <c r="M55" s="42"/>
      <c r="N55" s="42"/>
      <c r="O55" s="42"/>
      <c r="P55" s="42"/>
    </row>
    <row r="56" spans="8:16" x14ac:dyDescent="0.3">
      <c r="H56" s="47"/>
      <c r="I56" s="39"/>
      <c r="J56" s="44"/>
      <c r="K56" s="42"/>
      <c r="L56" s="42"/>
      <c r="M56" s="42"/>
      <c r="N56" s="42"/>
      <c r="O56" s="42"/>
      <c r="P56" s="42"/>
    </row>
    <row r="57" spans="8:16" x14ac:dyDescent="0.3">
      <c r="H57" s="47"/>
      <c r="I57" s="39"/>
      <c r="J57" s="44"/>
      <c r="K57" s="42"/>
      <c r="L57" s="42"/>
      <c r="M57" s="42"/>
      <c r="N57" s="42"/>
      <c r="O57" s="42"/>
      <c r="P57" s="42"/>
    </row>
    <row r="58" spans="8:16" x14ac:dyDescent="0.3">
      <c r="H58" s="47"/>
      <c r="I58" s="39"/>
      <c r="J58" s="44"/>
      <c r="K58" s="42"/>
      <c r="L58" s="42"/>
      <c r="M58" s="42"/>
      <c r="N58" s="42"/>
      <c r="O58" s="42"/>
      <c r="P58" s="42"/>
    </row>
    <row r="59" spans="8:16" x14ac:dyDescent="0.3">
      <c r="H59" s="47"/>
      <c r="I59" s="39"/>
      <c r="J59" s="44"/>
      <c r="K59" s="42"/>
      <c r="L59" s="42"/>
      <c r="M59" s="42"/>
      <c r="N59" s="42"/>
      <c r="O59" s="42"/>
      <c r="P59" s="42"/>
    </row>
    <row r="60" spans="8:16" x14ac:dyDescent="0.3">
      <c r="H60" s="47"/>
      <c r="I60" s="39"/>
      <c r="J60" s="44"/>
      <c r="K60" s="42"/>
      <c r="L60" s="42"/>
      <c r="M60" s="42"/>
      <c r="N60" s="42"/>
      <c r="O60" s="42"/>
      <c r="P60" s="42"/>
    </row>
    <row r="61" spans="8:16" x14ac:dyDescent="0.3">
      <c r="H61" s="47"/>
      <c r="I61" s="39"/>
      <c r="J61" s="44"/>
      <c r="K61" s="42"/>
      <c r="L61" s="42"/>
      <c r="M61" s="42"/>
      <c r="N61" s="42"/>
      <c r="O61" s="42"/>
      <c r="P61" s="42"/>
    </row>
    <row r="62" spans="8:16" x14ac:dyDescent="0.3">
      <c r="H62" s="47"/>
      <c r="I62" s="39"/>
      <c r="J62" s="44"/>
      <c r="K62" s="42"/>
      <c r="L62" s="42"/>
      <c r="M62" s="42"/>
      <c r="N62" s="42"/>
      <c r="O62" s="42"/>
      <c r="P62" s="42"/>
    </row>
    <row r="63" spans="8:16" x14ac:dyDescent="0.3">
      <c r="H63" s="47"/>
      <c r="I63" s="39"/>
      <c r="J63" s="44"/>
      <c r="K63" s="42"/>
      <c r="L63" s="42"/>
      <c r="M63" s="42"/>
      <c r="N63" s="42"/>
      <c r="O63" s="42"/>
      <c r="P63" s="42"/>
    </row>
    <row r="64" spans="8:16" x14ac:dyDescent="0.3">
      <c r="H64" s="47"/>
      <c r="I64" s="39"/>
      <c r="J64" s="44"/>
      <c r="K64" s="42"/>
      <c r="L64" s="42"/>
      <c r="M64" s="42"/>
      <c r="N64" s="42"/>
      <c r="O64" s="42"/>
      <c r="P64" s="42"/>
    </row>
    <row r="65" spans="8:16" x14ac:dyDescent="0.3">
      <c r="H65" s="47"/>
      <c r="I65" s="39"/>
      <c r="J65" s="44"/>
      <c r="K65" s="42"/>
      <c r="L65" s="42"/>
      <c r="M65" s="42"/>
      <c r="N65" s="42"/>
      <c r="O65" s="42"/>
      <c r="P65" s="42"/>
    </row>
    <row r="66" spans="8:16" x14ac:dyDescent="0.3">
      <c r="H66" s="47"/>
      <c r="I66" s="39"/>
      <c r="J66" s="44"/>
      <c r="K66" s="42"/>
      <c r="L66" s="42"/>
      <c r="M66" s="42"/>
      <c r="N66" s="42"/>
      <c r="O66" s="42"/>
      <c r="P66" s="42"/>
    </row>
    <row r="67" spans="8:16" x14ac:dyDescent="0.3">
      <c r="H67" s="47"/>
      <c r="I67" s="39"/>
      <c r="J67" s="44"/>
      <c r="K67" s="42"/>
      <c r="L67" s="42"/>
      <c r="M67" s="42"/>
      <c r="N67" s="42"/>
      <c r="O67" s="42"/>
      <c r="P67" s="42"/>
    </row>
    <row r="68" spans="8:16" x14ac:dyDescent="0.3">
      <c r="H68" s="47"/>
      <c r="I68" s="39"/>
      <c r="J68" s="44"/>
      <c r="K68" s="42"/>
      <c r="L68" s="42"/>
      <c r="M68" s="42"/>
      <c r="N68" s="42"/>
      <c r="O68" s="42"/>
      <c r="P68" s="42"/>
    </row>
    <row r="69" spans="8:16" x14ac:dyDescent="0.3">
      <c r="H69" s="47"/>
      <c r="I69" s="39"/>
      <c r="J69" s="44"/>
      <c r="K69" s="42"/>
      <c r="L69" s="42"/>
      <c r="M69" s="42"/>
      <c r="N69" s="42"/>
      <c r="O69" s="42"/>
      <c r="P69" s="42"/>
    </row>
    <row r="70" spans="8:16" x14ac:dyDescent="0.3">
      <c r="H70" s="47"/>
      <c r="I70" s="39"/>
      <c r="J70" s="44"/>
      <c r="K70" s="42"/>
      <c r="L70" s="42"/>
      <c r="M70" s="42"/>
      <c r="N70" s="42"/>
      <c r="O70" s="42"/>
      <c r="P70" s="42"/>
    </row>
    <row r="71" spans="8:16" x14ac:dyDescent="0.3">
      <c r="H71" s="47"/>
      <c r="I71" s="39"/>
      <c r="J71" s="44"/>
      <c r="K71" s="42"/>
      <c r="L71" s="42"/>
      <c r="M71" s="42"/>
      <c r="N71" s="42"/>
      <c r="O71" s="42"/>
      <c r="P71" s="42"/>
    </row>
    <row r="72" spans="8:16" x14ac:dyDescent="0.3">
      <c r="H72" s="47"/>
      <c r="I72" s="39"/>
      <c r="J72" s="44"/>
      <c r="K72" s="42"/>
      <c r="L72" s="42"/>
      <c r="M72" s="42"/>
      <c r="N72" s="42"/>
      <c r="O72" s="42"/>
      <c r="P72" s="42"/>
    </row>
    <row r="73" spans="8:16" x14ac:dyDescent="0.3">
      <c r="H73" s="47"/>
      <c r="I73" s="39"/>
      <c r="J73" s="44"/>
      <c r="K73" s="42"/>
      <c r="L73" s="42"/>
      <c r="M73" s="42"/>
      <c r="N73" s="42"/>
      <c r="O73" s="42"/>
      <c r="P73" s="42"/>
    </row>
    <row r="74" spans="8:16" x14ac:dyDescent="0.3">
      <c r="H74" s="47"/>
      <c r="I74" s="39"/>
      <c r="J74" s="44"/>
      <c r="K74" s="42"/>
      <c r="L74" s="42"/>
      <c r="M74" s="42"/>
      <c r="N74" s="42"/>
      <c r="O74" s="42"/>
      <c r="P74" s="42"/>
    </row>
    <row r="75" spans="8:16" x14ac:dyDescent="0.3">
      <c r="H75" s="47"/>
      <c r="I75" s="39"/>
      <c r="J75" s="44"/>
      <c r="K75" s="42"/>
      <c r="L75" s="42"/>
      <c r="M75" s="42"/>
      <c r="N75" s="42"/>
      <c r="O75" s="42"/>
      <c r="P75" s="42"/>
    </row>
    <row r="76" spans="8:16" x14ac:dyDescent="0.3">
      <c r="H76" s="47"/>
      <c r="I76" s="39"/>
      <c r="J76" s="44"/>
      <c r="K76" s="42"/>
      <c r="L76" s="42"/>
      <c r="M76" s="42"/>
      <c r="N76" s="42"/>
      <c r="O76" s="42"/>
      <c r="P76" s="42"/>
    </row>
    <row r="77" spans="8:16" x14ac:dyDescent="0.3">
      <c r="H77" s="47"/>
      <c r="I77" s="39"/>
      <c r="J77" s="44"/>
      <c r="K77" s="42"/>
      <c r="L77" s="42"/>
      <c r="M77" s="42"/>
      <c r="N77" s="42"/>
      <c r="O77" s="42"/>
      <c r="P77" s="42"/>
    </row>
    <row r="78" spans="8:16" x14ac:dyDescent="0.3">
      <c r="H78" s="47"/>
      <c r="I78" s="39"/>
      <c r="J78" s="44"/>
      <c r="K78" s="42"/>
      <c r="L78" s="42"/>
      <c r="M78" s="42"/>
      <c r="N78" s="42"/>
      <c r="O78" s="42"/>
      <c r="P78" s="42"/>
    </row>
    <row r="79" spans="8:16" x14ac:dyDescent="0.3">
      <c r="H79" s="47"/>
      <c r="I79" s="39"/>
      <c r="J79" s="44"/>
      <c r="K79" s="42"/>
      <c r="L79" s="42"/>
      <c r="M79" s="42"/>
      <c r="N79" s="42"/>
      <c r="O79" s="42"/>
      <c r="P79" s="42"/>
    </row>
    <row r="80" spans="8:16" x14ac:dyDescent="0.3">
      <c r="H80" s="47"/>
      <c r="I80" s="39"/>
      <c r="J80" s="44"/>
      <c r="K80" s="42"/>
      <c r="L80" s="42"/>
      <c r="M80" s="42"/>
      <c r="N80" s="42"/>
      <c r="O80" s="42"/>
      <c r="P80" s="42"/>
    </row>
    <row r="81" spans="8:16" x14ac:dyDescent="0.3">
      <c r="H81" s="47"/>
      <c r="I81" s="39"/>
      <c r="J81" s="44"/>
      <c r="K81" s="42"/>
      <c r="L81" s="42"/>
      <c r="M81" s="42"/>
      <c r="N81" s="42"/>
      <c r="O81" s="42"/>
      <c r="P81" s="42"/>
    </row>
    <row r="82" spans="8:16" x14ac:dyDescent="0.3">
      <c r="H82" s="47"/>
      <c r="I82" s="39"/>
      <c r="J82" s="44"/>
      <c r="K82" s="42"/>
      <c r="L82" s="42"/>
      <c r="M82" s="42"/>
      <c r="N82" s="42"/>
      <c r="O82" s="42"/>
      <c r="P82" s="42"/>
    </row>
    <row r="83" spans="8:16" x14ac:dyDescent="0.3">
      <c r="H83" s="47"/>
      <c r="I83" s="39"/>
      <c r="J83" s="44"/>
      <c r="K83" s="42"/>
      <c r="L83" s="42"/>
      <c r="M83" s="42"/>
      <c r="N83" s="42"/>
      <c r="O83" s="42"/>
      <c r="P83" s="42"/>
    </row>
    <row r="84" spans="8:16" x14ac:dyDescent="0.3">
      <c r="H84" s="47"/>
      <c r="I84" s="39"/>
      <c r="J84" s="44"/>
      <c r="K84" s="42"/>
      <c r="L84" s="42"/>
      <c r="M84" s="42"/>
      <c r="N84" s="42"/>
      <c r="O84" s="42"/>
      <c r="P84" s="42"/>
    </row>
    <row r="85" spans="8:16" x14ac:dyDescent="0.3">
      <c r="H85" s="47"/>
      <c r="I85" s="39"/>
      <c r="J85" s="44"/>
      <c r="K85" s="42"/>
      <c r="L85" s="42"/>
      <c r="M85" s="42"/>
      <c r="N85" s="42"/>
      <c r="O85" s="42"/>
      <c r="P85" s="42"/>
    </row>
    <row r="86" spans="8:16" x14ac:dyDescent="0.3">
      <c r="H86" s="47"/>
      <c r="I86" s="39"/>
      <c r="J86" s="44"/>
      <c r="K86" s="42"/>
      <c r="L86" s="42"/>
      <c r="M86" s="42"/>
      <c r="N86" s="42"/>
      <c r="O86" s="42"/>
      <c r="P86" s="42"/>
    </row>
    <row r="87" spans="8:16" x14ac:dyDescent="0.3">
      <c r="H87" s="47"/>
      <c r="I87" s="39"/>
      <c r="J87" s="44"/>
      <c r="K87" s="42"/>
      <c r="L87" s="42"/>
      <c r="M87" s="42"/>
      <c r="N87" s="42"/>
      <c r="O87" s="42"/>
      <c r="P87" s="42"/>
    </row>
    <row r="88" spans="8:16" x14ac:dyDescent="0.3">
      <c r="H88" s="47"/>
      <c r="I88" s="39"/>
      <c r="J88" s="44"/>
      <c r="K88" s="42"/>
      <c r="L88" s="42"/>
      <c r="M88" s="42"/>
      <c r="N88" s="42"/>
      <c r="O88" s="42"/>
      <c r="P88" s="42"/>
    </row>
    <row r="89" spans="8:16" x14ac:dyDescent="0.3">
      <c r="H89" s="47"/>
      <c r="I89" s="39"/>
      <c r="J89" s="44"/>
      <c r="K89" s="42"/>
      <c r="L89" s="42"/>
      <c r="M89" s="42"/>
      <c r="N89" s="42"/>
      <c r="O89" s="42"/>
      <c r="P89" s="42"/>
    </row>
    <row r="90" spans="8:16" x14ac:dyDescent="0.3">
      <c r="H90" s="47"/>
      <c r="I90" s="39"/>
      <c r="J90" s="44"/>
      <c r="K90" s="42"/>
      <c r="L90" s="42"/>
      <c r="M90" s="42"/>
      <c r="N90" s="42"/>
      <c r="O90" s="42"/>
      <c r="P90" s="42"/>
    </row>
    <row r="91" spans="8:16" x14ac:dyDescent="0.3">
      <c r="H91" s="47"/>
      <c r="I91" s="39"/>
      <c r="J91" s="44"/>
      <c r="K91" s="42"/>
      <c r="L91" s="42"/>
      <c r="M91" s="42"/>
      <c r="N91" s="42"/>
      <c r="O91" s="42"/>
      <c r="P91" s="42"/>
    </row>
    <row r="92" spans="8:16" x14ac:dyDescent="0.3">
      <c r="H92" s="47"/>
      <c r="I92" s="39"/>
      <c r="J92" s="44"/>
      <c r="K92" s="42"/>
      <c r="L92" s="42"/>
      <c r="M92" s="42"/>
      <c r="N92" s="42"/>
      <c r="O92" s="42"/>
      <c r="P92" s="42"/>
    </row>
    <row r="93" spans="8:16" x14ac:dyDescent="0.3">
      <c r="H93" s="47"/>
      <c r="I93" s="39"/>
      <c r="J93" s="44"/>
      <c r="K93" s="42"/>
      <c r="L93" s="42"/>
      <c r="M93" s="42"/>
      <c r="N93" s="42"/>
      <c r="O93" s="42"/>
      <c r="P93" s="42"/>
    </row>
    <row r="94" spans="8:16" x14ac:dyDescent="0.3">
      <c r="H94" s="47"/>
      <c r="I94" s="39"/>
      <c r="J94" s="44"/>
      <c r="K94" s="42"/>
      <c r="L94" s="42"/>
      <c r="M94" s="42"/>
      <c r="N94" s="42"/>
      <c r="O94" s="42"/>
      <c r="P94" s="42"/>
    </row>
    <row r="95" spans="8:16" x14ac:dyDescent="0.3">
      <c r="H95" s="47"/>
      <c r="I95" s="39"/>
      <c r="J95" s="44"/>
      <c r="K95" s="42"/>
      <c r="L95" s="42"/>
      <c r="M95" s="42"/>
      <c r="N95" s="42"/>
      <c r="O95" s="42"/>
      <c r="P95" s="42"/>
    </row>
    <row r="96" spans="8:16" x14ac:dyDescent="0.3">
      <c r="H96" s="47"/>
      <c r="I96" s="39"/>
      <c r="J96" s="44"/>
      <c r="K96" s="42"/>
      <c r="L96" s="42"/>
      <c r="M96" s="42"/>
      <c r="N96" s="42"/>
      <c r="O96" s="42"/>
      <c r="P96" s="42"/>
    </row>
    <row r="97" spans="8:16" x14ac:dyDescent="0.3">
      <c r="H97" s="47"/>
      <c r="I97" s="39"/>
      <c r="J97" s="44"/>
      <c r="K97" s="42"/>
      <c r="L97" s="42"/>
      <c r="M97" s="42"/>
      <c r="N97" s="42"/>
      <c r="O97" s="42"/>
      <c r="P97" s="42"/>
    </row>
    <row r="98" spans="8:16" x14ac:dyDescent="0.3">
      <c r="H98" s="47"/>
      <c r="I98" s="39"/>
      <c r="J98" s="44"/>
      <c r="K98" s="42"/>
      <c r="L98" s="42"/>
      <c r="M98" s="42"/>
      <c r="N98" s="42"/>
      <c r="O98" s="42"/>
      <c r="P98" s="42"/>
    </row>
    <row r="99" spans="8:16" x14ac:dyDescent="0.3">
      <c r="H99" s="47"/>
      <c r="I99" s="39"/>
      <c r="J99" s="44"/>
      <c r="K99" s="42"/>
      <c r="L99" s="42"/>
      <c r="M99" s="42"/>
      <c r="N99" s="42"/>
      <c r="O99" s="42"/>
      <c r="P99" s="42"/>
    </row>
    <row r="100" spans="8:16" x14ac:dyDescent="0.3">
      <c r="H100" s="47"/>
      <c r="I100" s="39"/>
      <c r="J100" s="44"/>
      <c r="K100" s="42"/>
      <c r="L100" s="42"/>
      <c r="M100" s="42"/>
      <c r="N100" s="42"/>
      <c r="O100" s="42"/>
      <c r="P100" s="42"/>
    </row>
    <row r="101" spans="8:16" x14ac:dyDescent="0.3">
      <c r="H101" s="47"/>
      <c r="I101" s="39"/>
      <c r="J101" s="44"/>
      <c r="K101" s="42"/>
      <c r="L101" s="42"/>
      <c r="M101" s="42"/>
      <c r="N101" s="42"/>
      <c r="O101" s="42"/>
      <c r="P101" s="42"/>
    </row>
    <row r="102" spans="8:16" x14ac:dyDescent="0.3">
      <c r="H102" s="47"/>
      <c r="I102" s="39"/>
      <c r="J102" s="44"/>
      <c r="K102" s="42"/>
      <c r="L102" s="42"/>
      <c r="M102" s="42"/>
      <c r="N102" s="42"/>
      <c r="O102" s="42"/>
      <c r="P102" s="42"/>
    </row>
    <row r="103" spans="8:16" x14ac:dyDescent="0.3">
      <c r="H103" s="47"/>
      <c r="I103" s="39"/>
      <c r="J103" s="44"/>
      <c r="K103" s="42"/>
      <c r="L103" s="42"/>
      <c r="M103" s="42"/>
      <c r="N103" s="42"/>
      <c r="O103" s="42"/>
      <c r="P103" s="42"/>
    </row>
    <row r="104" spans="8:16" x14ac:dyDescent="0.3">
      <c r="H104" s="47"/>
      <c r="I104" s="39"/>
      <c r="J104" s="44"/>
      <c r="K104" s="42"/>
      <c r="L104" s="42"/>
      <c r="M104" s="42"/>
      <c r="N104" s="42"/>
      <c r="O104" s="42"/>
      <c r="P104" s="42"/>
    </row>
    <row r="105" spans="8:16" x14ac:dyDescent="0.3">
      <c r="H105" s="47"/>
      <c r="I105" s="39"/>
      <c r="J105" s="44"/>
      <c r="K105" s="42"/>
      <c r="L105" s="42"/>
      <c r="M105" s="42"/>
      <c r="N105" s="42"/>
      <c r="O105" s="42"/>
      <c r="P105" s="42"/>
    </row>
  </sheetData>
  <sheetProtection password="CE28" sheet="1" objects="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randomTicker">
                <anchor moveWithCells="1">
                  <from>
                    <xdr:col>6</xdr:col>
                    <xdr:colOff>76200</xdr:colOff>
                    <xdr:row>3</xdr:row>
                    <xdr:rowOff>60960</xdr:rowOff>
                  </from>
                  <to>
                    <xdr:col>7</xdr:col>
                    <xdr:colOff>510540</xdr:colOff>
                    <xdr:row>4</xdr:row>
                    <xdr:rowOff>106680</xdr:rowOff>
                  </to>
                </anchor>
              </controlPr>
            </control>
          </mc:Choice>
        </mc:AlternateContent>
        <mc:AlternateContent xmlns:mc="http://schemas.openxmlformats.org/markup-compatibility/2006">
          <mc:Choice Requires="x14">
            <control shapeId="14339" r:id="rId5" name="Button 3">
              <controlPr defaultSize="0" print="0" autoFill="0" autoPict="0" macro="[0]!PullData.PullData">
                <anchor moveWithCells="1">
                  <from>
                    <xdr:col>6</xdr:col>
                    <xdr:colOff>83820</xdr:colOff>
                    <xdr:row>5</xdr:row>
                    <xdr:rowOff>60960</xdr:rowOff>
                  </from>
                  <to>
                    <xdr:col>7</xdr:col>
                    <xdr:colOff>518160</xdr:colOff>
                    <xdr:row>6</xdr:row>
                    <xdr:rowOff>106680</xdr:rowOff>
                  </to>
                </anchor>
              </controlPr>
            </control>
          </mc:Choice>
        </mc:AlternateContent>
        <mc:AlternateContent xmlns:mc="http://schemas.openxmlformats.org/markup-compatibility/2006">
          <mc:Choice Requires="x14">
            <control shapeId="14343" r:id="rId6" name="Button 7">
              <controlPr defaultSize="0" print="0" autoFill="0" autoPict="0" macro="[0]!RealTimeClock">
                <anchor moveWithCells="1">
                  <from>
                    <xdr:col>14</xdr:col>
                    <xdr:colOff>609600</xdr:colOff>
                    <xdr:row>1</xdr:row>
                    <xdr:rowOff>30480</xdr:rowOff>
                  </from>
                  <to>
                    <xdr:col>16</xdr:col>
                    <xdr:colOff>190500</xdr:colOff>
                    <xdr:row>3</xdr:row>
                    <xdr:rowOff>121920</xdr:rowOff>
                  </to>
                </anchor>
              </controlPr>
            </control>
          </mc:Choice>
        </mc:AlternateContent>
        <mc:AlternateContent xmlns:mc="http://schemas.openxmlformats.org/markup-compatibility/2006">
          <mc:Choice Requires="x14">
            <control shapeId="14344" r:id="rId7" name="Button 8">
              <controlPr defaultSize="0" print="0" autoFill="0" autoPict="0" macro="[0]!YahooBox">
                <anchor moveWithCells="1">
                  <from>
                    <xdr:col>6</xdr:col>
                    <xdr:colOff>76200</xdr:colOff>
                    <xdr:row>1</xdr:row>
                    <xdr:rowOff>60960</xdr:rowOff>
                  </from>
                  <to>
                    <xdr:col>7</xdr:col>
                    <xdr:colOff>510540</xdr:colOff>
                    <xdr:row>2</xdr:row>
                    <xdr:rowOff>106680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BA2A9-66A4-4B3A-8AF1-96D9313F8303}">
  <sheetPr codeName="Sheet3">
    <tabColor rgb="FF68405E"/>
  </sheetPr>
  <dimension ref="A1:AB48"/>
  <sheetViews>
    <sheetView showGridLines="0" zoomScale="99" workbookViewId="0"/>
  </sheetViews>
  <sheetFormatPr defaultRowHeight="14.4" x14ac:dyDescent="0.3"/>
  <cols>
    <col min="1" max="1" width="34.77734375" style="30" customWidth="1"/>
    <col min="2" max="2" width="17.5546875" style="31" customWidth="1"/>
    <col min="3" max="5" width="10.88671875" style="30" bestFit="1" customWidth="1"/>
    <col min="6" max="6" width="8.88671875" style="30"/>
    <col min="7" max="7" width="31.33203125" style="30" bestFit="1" customWidth="1"/>
    <col min="8" max="8" width="16.6640625" style="30" bestFit="1" customWidth="1"/>
    <col min="9" max="11" width="12.33203125" style="30" bestFit="1" customWidth="1"/>
    <col min="12" max="12" width="9.88671875" style="30" bestFit="1" customWidth="1"/>
    <col min="13" max="13" width="36.6640625" style="30" bestFit="1" customWidth="1"/>
    <col min="14" max="16" width="12.21875" style="30" customWidth="1"/>
    <col min="17" max="17" width="12.109375" style="30" customWidth="1"/>
    <col min="18" max="26" width="8.88671875" style="30"/>
    <col min="27" max="27" width="10" style="55" bestFit="1" customWidth="1"/>
    <col min="28" max="28" width="8.88671875" style="55"/>
    <col min="29" max="16384" width="8.88671875" style="30"/>
  </cols>
  <sheetData>
    <row r="1" spans="1:28" x14ac:dyDescent="0.3">
      <c r="A1" s="8" t="s">
        <v>1779</v>
      </c>
      <c r="B1" s="7"/>
      <c r="C1" s="35" t="s">
        <v>1778</v>
      </c>
      <c r="D1" s="36" t="s">
        <v>80</v>
      </c>
      <c r="AA1" s="52" t="s">
        <v>946</v>
      </c>
      <c r="AB1" s="52" t="s">
        <v>947</v>
      </c>
    </row>
    <row r="2" spans="1:28" x14ac:dyDescent="0.3">
      <c r="A2" s="19" t="s">
        <v>6</v>
      </c>
      <c r="B2" s="14" t="s">
        <v>1194</v>
      </c>
      <c r="C2" s="37"/>
      <c r="D2" s="38"/>
      <c r="AA2" s="53">
        <v>43728</v>
      </c>
      <c r="AB2" s="54">
        <v>141.01</v>
      </c>
    </row>
    <row r="3" spans="1:28" x14ac:dyDescent="0.3">
      <c r="A3" s="19" t="s">
        <v>0</v>
      </c>
      <c r="B3" s="23">
        <v>139.44</v>
      </c>
      <c r="C3" s="66"/>
      <c r="AA3" s="53">
        <v>43727</v>
      </c>
      <c r="AB3" s="54">
        <v>140.30000000000001</v>
      </c>
    </row>
    <row r="4" spans="1:28" x14ac:dyDescent="0.3">
      <c r="A4" s="19" t="s">
        <v>2</v>
      </c>
      <c r="B4" s="15" t="s">
        <v>1780</v>
      </c>
      <c r="C4" s="67"/>
      <c r="AA4" s="53">
        <v>43726</v>
      </c>
      <c r="AB4" s="54">
        <v>137.36000000000001</v>
      </c>
    </row>
    <row r="5" spans="1:28" x14ac:dyDescent="0.3">
      <c r="A5" s="19" t="s">
        <v>3</v>
      </c>
      <c r="B5" s="15">
        <v>27.56</v>
      </c>
      <c r="C5" s="68"/>
      <c r="AA5" s="53">
        <v>43725</v>
      </c>
      <c r="AB5" s="54">
        <v>136.96</v>
      </c>
    </row>
    <row r="6" spans="1:28" x14ac:dyDescent="0.3">
      <c r="A6" s="19" t="s">
        <v>4</v>
      </c>
      <c r="B6" s="15">
        <v>5.0599999999999996</v>
      </c>
      <c r="I6" s="30" t="s">
        <v>956</v>
      </c>
      <c r="AA6" s="53">
        <v>43724</v>
      </c>
      <c r="AB6" s="54">
        <v>135.83000000000001</v>
      </c>
    </row>
    <row r="7" spans="1:28" x14ac:dyDescent="0.3">
      <c r="A7" s="19" t="s">
        <v>1</v>
      </c>
      <c r="B7" s="15">
        <v>0.97</v>
      </c>
      <c r="AA7" s="53">
        <v>43721</v>
      </c>
      <c r="AB7" s="54">
        <v>137.78</v>
      </c>
    </row>
    <row r="8" spans="1:28" x14ac:dyDescent="0.3">
      <c r="A8" s="24" t="s">
        <v>5</v>
      </c>
      <c r="B8" s="18" t="s">
        <v>1781</v>
      </c>
      <c r="AA8" s="53">
        <v>43720</v>
      </c>
      <c r="AB8" s="54">
        <v>137.85</v>
      </c>
    </row>
    <row r="9" spans="1:28" x14ac:dyDescent="0.3">
      <c r="A9" s="33"/>
      <c r="B9" s="34"/>
      <c r="C9" s="33"/>
      <c r="AA9" s="53">
        <v>43719</v>
      </c>
      <c r="AB9" s="54">
        <v>135.91</v>
      </c>
    </row>
    <row r="10" spans="1:28" x14ac:dyDescent="0.3">
      <c r="A10" s="69" t="str">
        <f>"This is a copy of "&amp;CompName&amp;"'s financial data."</f>
        <v>This is a copy of Microsoft Corporation (MSFT)'s financial data.</v>
      </c>
      <c r="B10" s="70"/>
      <c r="C10" s="71"/>
      <c r="D10" s="72"/>
      <c r="Q10" s="33"/>
      <c r="AA10" s="53">
        <v>43718</v>
      </c>
      <c r="AB10" s="54">
        <v>136.80000000000001</v>
      </c>
    </row>
    <row r="11" spans="1:28" x14ac:dyDescent="0.3">
      <c r="A11" s="33" t="str">
        <f>IF(D13=E13,"This data is corrupt and cannot be trusted.","")</f>
        <v/>
      </c>
      <c r="Q11" s="33"/>
      <c r="AA11" s="53">
        <v>43717</v>
      </c>
      <c r="AB11" s="54">
        <v>139.59</v>
      </c>
    </row>
    <row r="12" spans="1:28" x14ac:dyDescent="0.3">
      <c r="AA12" s="53">
        <v>43714</v>
      </c>
      <c r="AB12" s="54">
        <v>140.03</v>
      </c>
    </row>
    <row r="13" spans="1:28" x14ac:dyDescent="0.3">
      <c r="A13" s="9" t="s">
        <v>23</v>
      </c>
      <c r="B13" s="10">
        <v>43646</v>
      </c>
      <c r="C13" s="11">
        <v>43281</v>
      </c>
      <c r="D13" s="11">
        <v>42916</v>
      </c>
      <c r="E13" s="12">
        <v>42551</v>
      </c>
      <c r="G13" s="9" t="s">
        <v>24</v>
      </c>
      <c r="H13" s="10">
        <v>43646</v>
      </c>
      <c r="I13" s="10">
        <v>43281</v>
      </c>
      <c r="J13" s="10">
        <v>42916</v>
      </c>
      <c r="K13" s="25">
        <v>42551</v>
      </c>
      <c r="M13" s="9" t="s">
        <v>54</v>
      </c>
      <c r="N13" s="10">
        <v>43646</v>
      </c>
      <c r="O13" s="11">
        <v>43281</v>
      </c>
      <c r="P13" s="11">
        <v>42916</v>
      </c>
      <c r="Q13" s="12">
        <v>42551</v>
      </c>
      <c r="AA13" s="53">
        <v>43713</v>
      </c>
      <c r="AB13" s="54">
        <v>139.11000000000001</v>
      </c>
    </row>
    <row r="14" spans="1:28" x14ac:dyDescent="0.3">
      <c r="A14" s="13" t="s">
        <v>9</v>
      </c>
      <c r="B14" s="14" t="s">
        <v>1782</v>
      </c>
      <c r="C14" s="14" t="s">
        <v>1783</v>
      </c>
      <c r="D14" s="14" t="s">
        <v>1784</v>
      </c>
      <c r="E14" s="15" t="s">
        <v>1785</v>
      </c>
      <c r="G14" s="13" t="s">
        <v>25</v>
      </c>
      <c r="H14" s="14" t="s">
        <v>1830</v>
      </c>
      <c r="I14" s="14" t="s">
        <v>1831</v>
      </c>
      <c r="J14" s="14" t="s">
        <v>1832</v>
      </c>
      <c r="K14" s="15" t="s">
        <v>1833</v>
      </c>
      <c r="M14" s="13" t="s">
        <v>22</v>
      </c>
      <c r="N14" s="14" t="s">
        <v>1826</v>
      </c>
      <c r="O14" s="14" t="s">
        <v>1827</v>
      </c>
      <c r="P14" s="14" t="s">
        <v>1828</v>
      </c>
      <c r="Q14" s="15" t="s">
        <v>1829</v>
      </c>
      <c r="AA14" s="53">
        <v>43712</v>
      </c>
      <c r="AB14" s="54">
        <v>137.30000000000001</v>
      </c>
    </row>
    <row r="15" spans="1:28" x14ac:dyDescent="0.3">
      <c r="A15" s="13" t="s">
        <v>8</v>
      </c>
      <c r="B15" s="14" t="s">
        <v>1786</v>
      </c>
      <c r="C15" s="14" t="s">
        <v>1787</v>
      </c>
      <c r="D15" s="14" t="s">
        <v>1788</v>
      </c>
      <c r="E15" s="15" t="s">
        <v>1789</v>
      </c>
      <c r="G15" s="13" t="s">
        <v>26</v>
      </c>
      <c r="H15" s="14" t="s">
        <v>1834</v>
      </c>
      <c r="I15" s="14" t="s">
        <v>1835</v>
      </c>
      <c r="J15" s="14" t="s">
        <v>1836</v>
      </c>
      <c r="K15" s="15" t="s">
        <v>1837</v>
      </c>
      <c r="M15" s="13" t="s">
        <v>55</v>
      </c>
      <c r="N15" s="14" t="s">
        <v>1928</v>
      </c>
      <c r="O15" s="14" t="s">
        <v>1929</v>
      </c>
      <c r="P15" s="14" t="s">
        <v>1930</v>
      </c>
      <c r="Q15" s="15" t="s">
        <v>1931</v>
      </c>
      <c r="AA15" s="53">
        <v>43711</v>
      </c>
      <c r="AB15" s="54">
        <v>136.61000000000001</v>
      </c>
    </row>
    <row r="16" spans="1:28" x14ac:dyDescent="0.3">
      <c r="A16" s="16" t="s">
        <v>7</v>
      </c>
      <c r="B16" s="17" t="s">
        <v>1790</v>
      </c>
      <c r="C16" s="17" t="s">
        <v>1791</v>
      </c>
      <c r="D16" s="17" t="s">
        <v>1792</v>
      </c>
      <c r="E16" s="18" t="s">
        <v>1793</v>
      </c>
      <c r="G16" s="13" t="s">
        <v>27</v>
      </c>
      <c r="H16" s="14" t="s">
        <v>1838</v>
      </c>
      <c r="I16" s="14" t="s">
        <v>1839</v>
      </c>
      <c r="J16" s="14" t="s">
        <v>1840</v>
      </c>
      <c r="K16" s="15" t="s">
        <v>1841</v>
      </c>
      <c r="M16" s="13" t="s">
        <v>56</v>
      </c>
      <c r="N16" s="14" t="s">
        <v>1932</v>
      </c>
      <c r="O16" s="14" t="s">
        <v>1380</v>
      </c>
      <c r="P16" s="14" t="s">
        <v>1933</v>
      </c>
      <c r="Q16" s="15" t="s">
        <v>1934</v>
      </c>
      <c r="AA16" s="53">
        <v>43707</v>
      </c>
      <c r="AB16" s="54">
        <v>139.15</v>
      </c>
    </row>
    <row r="17" spans="1:17" x14ac:dyDescent="0.3">
      <c r="A17" s="13" t="s">
        <v>10</v>
      </c>
      <c r="B17" s="14" t="s">
        <v>1794</v>
      </c>
      <c r="C17" s="14" t="s">
        <v>1795</v>
      </c>
      <c r="D17" s="14" t="s">
        <v>1796</v>
      </c>
      <c r="E17" s="15" t="s">
        <v>1797</v>
      </c>
      <c r="G17" s="19" t="s">
        <v>28</v>
      </c>
      <c r="H17" s="14" t="s">
        <v>1842</v>
      </c>
      <c r="I17" s="14" t="s">
        <v>1843</v>
      </c>
      <c r="J17" s="14" t="s">
        <v>1844</v>
      </c>
      <c r="K17" s="15" t="s">
        <v>1845</v>
      </c>
      <c r="M17" s="13" t="s">
        <v>57</v>
      </c>
      <c r="N17" s="14" t="s">
        <v>1935</v>
      </c>
      <c r="O17" s="14" t="s">
        <v>1936</v>
      </c>
      <c r="P17" s="14" t="s">
        <v>1937</v>
      </c>
      <c r="Q17" s="15" t="s">
        <v>1938</v>
      </c>
    </row>
    <row r="18" spans="1:17" x14ac:dyDescent="0.3">
      <c r="A18" s="13" t="s">
        <v>11</v>
      </c>
      <c r="B18" s="14" t="s">
        <v>1798</v>
      </c>
      <c r="C18" s="14" t="s">
        <v>1799</v>
      </c>
      <c r="D18" s="14" t="s">
        <v>1800</v>
      </c>
      <c r="E18" s="15" t="s">
        <v>1801</v>
      </c>
      <c r="G18" s="13" t="s">
        <v>29</v>
      </c>
      <c r="H18" s="14" t="s">
        <v>1846</v>
      </c>
      <c r="I18" s="14" t="s">
        <v>1847</v>
      </c>
      <c r="J18" s="14" t="s">
        <v>1848</v>
      </c>
      <c r="K18" s="15" t="s">
        <v>1849</v>
      </c>
      <c r="M18" s="13" t="s">
        <v>58</v>
      </c>
      <c r="N18" s="14" t="s">
        <v>1939</v>
      </c>
      <c r="O18" s="14" t="s">
        <v>1940</v>
      </c>
      <c r="P18" s="14" t="s">
        <v>1941</v>
      </c>
      <c r="Q18" s="15" t="s">
        <v>1942</v>
      </c>
    </row>
    <row r="19" spans="1:17" x14ac:dyDescent="0.3">
      <c r="A19" s="13" t="s">
        <v>13</v>
      </c>
      <c r="B19" s="14" t="s">
        <v>948</v>
      </c>
      <c r="C19" s="14" t="s">
        <v>948</v>
      </c>
      <c r="D19" s="14" t="s">
        <v>948</v>
      </c>
      <c r="E19" s="15" t="s">
        <v>948</v>
      </c>
      <c r="G19" s="24" t="s">
        <v>73</v>
      </c>
      <c r="H19" s="17" t="s">
        <v>1850</v>
      </c>
      <c r="I19" s="17" t="s">
        <v>1851</v>
      </c>
      <c r="J19" s="17" t="s">
        <v>1852</v>
      </c>
      <c r="K19" s="18" t="s">
        <v>1853</v>
      </c>
      <c r="M19" s="13" t="s">
        <v>59</v>
      </c>
      <c r="N19" s="14" t="s">
        <v>1943</v>
      </c>
      <c r="O19" s="14" t="s">
        <v>1944</v>
      </c>
      <c r="P19" s="14" t="s">
        <v>1945</v>
      </c>
      <c r="Q19" s="15" t="s">
        <v>1946</v>
      </c>
    </row>
    <row r="20" spans="1:17" x14ac:dyDescent="0.3">
      <c r="A20" s="13" t="s">
        <v>14</v>
      </c>
      <c r="B20" s="14" t="s">
        <v>948</v>
      </c>
      <c r="C20" s="14" t="s">
        <v>948</v>
      </c>
      <c r="D20" s="14" t="s">
        <v>948</v>
      </c>
      <c r="E20" s="15" t="s">
        <v>948</v>
      </c>
      <c r="G20" s="13" t="s">
        <v>30</v>
      </c>
      <c r="H20" s="14" t="s">
        <v>1854</v>
      </c>
      <c r="I20" s="14" t="s">
        <v>1855</v>
      </c>
      <c r="J20" s="14" t="s">
        <v>1856</v>
      </c>
      <c r="K20" s="15" t="s">
        <v>1857</v>
      </c>
      <c r="M20" s="13" t="s">
        <v>60</v>
      </c>
      <c r="N20" s="14" t="s">
        <v>1947</v>
      </c>
      <c r="O20" s="14" t="s">
        <v>1236</v>
      </c>
      <c r="P20" s="14" t="s">
        <v>1948</v>
      </c>
      <c r="Q20" s="15" t="s">
        <v>1949</v>
      </c>
    </row>
    <row r="21" spans="1:17" x14ac:dyDescent="0.3">
      <c r="A21" s="13" t="s">
        <v>15</v>
      </c>
      <c r="B21" s="14" t="s">
        <v>1802</v>
      </c>
      <c r="C21" s="14" t="s">
        <v>1803</v>
      </c>
      <c r="D21" s="14" t="s">
        <v>1804</v>
      </c>
      <c r="E21" s="15" t="s">
        <v>1805</v>
      </c>
      <c r="G21" s="13" t="s">
        <v>31</v>
      </c>
      <c r="H21" s="14" t="s">
        <v>1858</v>
      </c>
      <c r="I21" s="14" t="s">
        <v>1859</v>
      </c>
      <c r="J21" s="14" t="s">
        <v>1860</v>
      </c>
      <c r="K21" s="15" t="s">
        <v>1861</v>
      </c>
      <c r="M21" s="27" t="s">
        <v>69</v>
      </c>
      <c r="N21" s="28" t="s">
        <v>1950</v>
      </c>
      <c r="O21" s="28" t="s">
        <v>1951</v>
      </c>
      <c r="P21" s="28" t="s">
        <v>1952</v>
      </c>
      <c r="Q21" s="29" t="s">
        <v>1953</v>
      </c>
    </row>
    <row r="22" spans="1:17" x14ac:dyDescent="0.3">
      <c r="A22" s="16" t="s">
        <v>21</v>
      </c>
      <c r="B22" s="17" t="s">
        <v>1806</v>
      </c>
      <c r="C22" s="17" t="s">
        <v>1807</v>
      </c>
      <c r="D22" s="17" t="s">
        <v>1808</v>
      </c>
      <c r="E22" s="18" t="s">
        <v>1809</v>
      </c>
      <c r="G22" s="13" t="s">
        <v>32</v>
      </c>
      <c r="H22" s="14" t="s">
        <v>1862</v>
      </c>
      <c r="I22" s="14" t="s">
        <v>1863</v>
      </c>
      <c r="J22" s="14" t="s">
        <v>1864</v>
      </c>
      <c r="K22" s="15" t="s">
        <v>1865</v>
      </c>
      <c r="M22" s="13" t="s">
        <v>61</v>
      </c>
      <c r="N22" s="14" t="s">
        <v>1954</v>
      </c>
      <c r="O22" s="14" t="s">
        <v>1955</v>
      </c>
      <c r="P22" s="14" t="s">
        <v>1956</v>
      </c>
      <c r="Q22" s="15" t="s">
        <v>1957</v>
      </c>
    </row>
    <row r="23" spans="1:17" x14ac:dyDescent="0.3">
      <c r="A23" s="13" t="s">
        <v>16</v>
      </c>
      <c r="B23" s="14" t="s">
        <v>1810</v>
      </c>
      <c r="C23" s="14" t="s">
        <v>1811</v>
      </c>
      <c r="D23" s="14" t="s">
        <v>1812</v>
      </c>
      <c r="E23" s="15" t="s">
        <v>1813</v>
      </c>
      <c r="G23" s="13" t="s">
        <v>33</v>
      </c>
      <c r="H23" s="14" t="s">
        <v>1866</v>
      </c>
      <c r="I23" s="14" t="s">
        <v>1867</v>
      </c>
      <c r="J23" s="14" t="s">
        <v>1868</v>
      </c>
      <c r="K23" s="15" t="s">
        <v>1869</v>
      </c>
      <c r="M23" s="13" t="s">
        <v>62</v>
      </c>
      <c r="N23" s="14" t="s">
        <v>1958</v>
      </c>
      <c r="O23" s="14" t="s">
        <v>1959</v>
      </c>
      <c r="P23" s="14" t="s">
        <v>1960</v>
      </c>
      <c r="Q23" s="15" t="s">
        <v>1961</v>
      </c>
    </row>
    <row r="24" spans="1:17" x14ac:dyDescent="0.3">
      <c r="A24" s="13" t="s">
        <v>17</v>
      </c>
      <c r="B24" s="14" t="s">
        <v>1806</v>
      </c>
      <c r="C24" s="14" t="s">
        <v>1807</v>
      </c>
      <c r="D24" s="14" t="s">
        <v>1808</v>
      </c>
      <c r="E24" s="15" t="s">
        <v>1809</v>
      </c>
      <c r="G24" s="13" t="s">
        <v>34</v>
      </c>
      <c r="H24" s="14" t="s">
        <v>948</v>
      </c>
      <c r="I24" s="14" t="s">
        <v>948</v>
      </c>
      <c r="J24" s="14" t="s">
        <v>948</v>
      </c>
      <c r="K24" s="15" t="s">
        <v>948</v>
      </c>
      <c r="M24" s="13" t="s">
        <v>63</v>
      </c>
      <c r="N24" s="14">
        <v>0</v>
      </c>
      <c r="O24" s="14" t="s">
        <v>1962</v>
      </c>
      <c r="P24" s="14" t="s">
        <v>1963</v>
      </c>
      <c r="Q24" s="15" t="s">
        <v>1964</v>
      </c>
    </row>
    <row r="25" spans="1:17" x14ac:dyDescent="0.3">
      <c r="A25" s="13" t="s">
        <v>18</v>
      </c>
      <c r="B25" s="14" t="s">
        <v>1814</v>
      </c>
      <c r="C25" s="14" t="s">
        <v>1815</v>
      </c>
      <c r="D25" s="14" t="s">
        <v>1816</v>
      </c>
      <c r="E25" s="15" t="s">
        <v>1817</v>
      </c>
      <c r="G25" s="13" t="s">
        <v>35</v>
      </c>
      <c r="H25" s="14" t="s">
        <v>1870</v>
      </c>
      <c r="I25" s="14" t="s">
        <v>1871</v>
      </c>
      <c r="J25" s="14" t="s">
        <v>1872</v>
      </c>
      <c r="K25" s="15" t="s">
        <v>1873</v>
      </c>
      <c r="M25" s="27" t="s">
        <v>70</v>
      </c>
      <c r="N25" s="28" t="s">
        <v>1965</v>
      </c>
      <c r="O25" s="28" t="s">
        <v>1966</v>
      </c>
      <c r="P25" s="28" t="s">
        <v>1967</v>
      </c>
      <c r="Q25" s="29" t="s">
        <v>1968</v>
      </c>
    </row>
    <row r="26" spans="1:17" x14ac:dyDescent="0.3">
      <c r="A26" s="13" t="s">
        <v>19</v>
      </c>
      <c r="B26" s="14" t="s">
        <v>1818</v>
      </c>
      <c r="C26" s="14" t="s">
        <v>1819</v>
      </c>
      <c r="D26" s="14" t="s">
        <v>1820</v>
      </c>
      <c r="E26" s="15" t="s">
        <v>1821</v>
      </c>
      <c r="G26" s="13" t="s">
        <v>36</v>
      </c>
      <c r="H26" s="14" t="s">
        <v>1874</v>
      </c>
      <c r="I26" s="14" t="s">
        <v>1875</v>
      </c>
      <c r="J26" s="14" t="s">
        <v>1876</v>
      </c>
      <c r="K26" s="15" t="s">
        <v>1877</v>
      </c>
      <c r="M26" s="13" t="s">
        <v>64</v>
      </c>
      <c r="N26" s="14" t="s">
        <v>1969</v>
      </c>
      <c r="O26" s="14" t="s">
        <v>1970</v>
      </c>
      <c r="P26" s="14" t="s">
        <v>1971</v>
      </c>
      <c r="Q26" s="15" t="s">
        <v>1972</v>
      </c>
    </row>
    <row r="27" spans="1:17" ht="15" thickBot="1" x14ac:dyDescent="0.35">
      <c r="A27" s="13" t="s">
        <v>20</v>
      </c>
      <c r="B27" s="14" t="s">
        <v>1822</v>
      </c>
      <c r="C27" s="14" t="s">
        <v>1823</v>
      </c>
      <c r="D27" s="14" t="s">
        <v>1824</v>
      </c>
      <c r="E27" s="15" t="s">
        <v>1825</v>
      </c>
      <c r="G27" s="26" t="s">
        <v>74</v>
      </c>
      <c r="H27" s="21" t="s">
        <v>1878</v>
      </c>
      <c r="I27" s="21" t="s">
        <v>1879</v>
      </c>
      <c r="J27" s="21" t="s">
        <v>1880</v>
      </c>
      <c r="K27" s="22" t="s">
        <v>1881</v>
      </c>
      <c r="M27" s="13" t="s">
        <v>65</v>
      </c>
      <c r="N27" s="14">
        <v>0</v>
      </c>
      <c r="O27" s="14">
        <v>0</v>
      </c>
      <c r="P27" s="14">
        <v>0</v>
      </c>
      <c r="Q27" s="15">
        <v>0</v>
      </c>
    </row>
    <row r="28" spans="1:17" x14ac:dyDescent="0.3">
      <c r="A28" s="19" t="s">
        <v>78</v>
      </c>
      <c r="B28" s="14" t="s">
        <v>948</v>
      </c>
      <c r="C28" s="14" t="s">
        <v>948</v>
      </c>
      <c r="D28" s="14" t="s">
        <v>948</v>
      </c>
      <c r="E28" s="15" t="s">
        <v>948</v>
      </c>
      <c r="G28" s="13"/>
      <c r="H28" s="14"/>
      <c r="I28" s="14"/>
      <c r="J28" s="14"/>
      <c r="K28" s="15"/>
      <c r="M28" s="13" t="s">
        <v>66</v>
      </c>
      <c r="N28" s="14" t="s">
        <v>1973</v>
      </c>
      <c r="O28" s="14" t="s">
        <v>1974</v>
      </c>
      <c r="P28" s="14" t="s">
        <v>1975</v>
      </c>
      <c r="Q28" s="15" t="s">
        <v>1976</v>
      </c>
    </row>
    <row r="29" spans="1:17" ht="15" thickBot="1" x14ac:dyDescent="0.35">
      <c r="A29" s="20" t="s">
        <v>22</v>
      </c>
      <c r="B29" s="21" t="s">
        <v>1826</v>
      </c>
      <c r="C29" s="21" t="s">
        <v>1827</v>
      </c>
      <c r="D29" s="21" t="s">
        <v>1828</v>
      </c>
      <c r="E29" s="22" t="s">
        <v>1829</v>
      </c>
      <c r="G29" s="13" t="s">
        <v>37</v>
      </c>
      <c r="H29" s="14" t="s">
        <v>1882</v>
      </c>
      <c r="I29" s="14" t="s">
        <v>1883</v>
      </c>
      <c r="J29" s="14" t="s">
        <v>1884</v>
      </c>
      <c r="K29" s="15" t="s">
        <v>1885</v>
      </c>
      <c r="M29" s="13" t="s">
        <v>67</v>
      </c>
      <c r="N29" s="14" t="s">
        <v>1977</v>
      </c>
      <c r="O29" s="14" t="s">
        <v>1978</v>
      </c>
      <c r="P29" s="14" t="s">
        <v>1979</v>
      </c>
      <c r="Q29" s="15" t="s">
        <v>1980</v>
      </c>
    </row>
    <row r="30" spans="1:17" x14ac:dyDescent="0.3">
      <c r="G30" s="13" t="s">
        <v>38</v>
      </c>
      <c r="H30" s="14" t="s">
        <v>1886</v>
      </c>
      <c r="I30" s="14" t="s">
        <v>1887</v>
      </c>
      <c r="J30" s="14" t="s">
        <v>1888</v>
      </c>
      <c r="K30" s="15" t="s">
        <v>948</v>
      </c>
      <c r="M30" s="27" t="s">
        <v>71</v>
      </c>
      <c r="N30" s="28" t="s">
        <v>1981</v>
      </c>
      <c r="O30" s="28" t="s">
        <v>1982</v>
      </c>
      <c r="P30" s="28" t="s">
        <v>1983</v>
      </c>
      <c r="Q30" s="29" t="s">
        <v>1984</v>
      </c>
    </row>
    <row r="31" spans="1:17" x14ac:dyDescent="0.3">
      <c r="G31" s="13" t="s">
        <v>39</v>
      </c>
      <c r="H31" s="14" t="s">
        <v>1889</v>
      </c>
      <c r="I31" s="14" t="s">
        <v>1890</v>
      </c>
      <c r="J31" s="14" t="s">
        <v>1891</v>
      </c>
      <c r="K31" s="15" t="s">
        <v>1892</v>
      </c>
      <c r="M31" s="13" t="s">
        <v>68</v>
      </c>
      <c r="N31" s="14" t="s">
        <v>1985</v>
      </c>
      <c r="O31" s="14" t="s">
        <v>1945</v>
      </c>
      <c r="P31" s="14" t="s">
        <v>1986</v>
      </c>
      <c r="Q31" s="15" t="s">
        <v>1987</v>
      </c>
    </row>
    <row r="32" spans="1:17" x14ac:dyDescent="0.3">
      <c r="G32" s="24" t="s">
        <v>75</v>
      </c>
      <c r="H32" s="17" t="s">
        <v>1893</v>
      </c>
      <c r="I32" s="17" t="s">
        <v>1894</v>
      </c>
      <c r="J32" s="17" t="s">
        <v>1895</v>
      </c>
      <c r="K32" s="18" t="s">
        <v>1896</v>
      </c>
      <c r="M32" s="16" t="s">
        <v>72</v>
      </c>
      <c r="N32" s="17" t="s">
        <v>1988</v>
      </c>
      <c r="O32" s="17" t="s">
        <v>1989</v>
      </c>
      <c r="P32" s="17" t="s">
        <v>1990</v>
      </c>
      <c r="Q32" s="18" t="s">
        <v>1991</v>
      </c>
    </row>
    <row r="33" spans="7:12" x14ac:dyDescent="0.3">
      <c r="G33" s="13" t="s">
        <v>40</v>
      </c>
      <c r="H33" s="14" t="s">
        <v>1897</v>
      </c>
      <c r="I33" s="14" t="s">
        <v>1898</v>
      </c>
      <c r="J33" s="14" t="s">
        <v>1899</v>
      </c>
      <c r="K33" s="15" t="s">
        <v>1900</v>
      </c>
    </row>
    <row r="34" spans="7:12" x14ac:dyDescent="0.3">
      <c r="G34" s="13" t="s">
        <v>41</v>
      </c>
      <c r="H34" s="14" t="s">
        <v>1901</v>
      </c>
      <c r="I34" s="14" t="s">
        <v>1902</v>
      </c>
      <c r="J34" s="14" t="s">
        <v>1903</v>
      </c>
      <c r="K34" s="15" t="s">
        <v>1904</v>
      </c>
    </row>
    <row r="35" spans="7:12" x14ac:dyDescent="0.3">
      <c r="G35" s="13" t="s">
        <v>42</v>
      </c>
      <c r="H35" s="14" t="s">
        <v>948</v>
      </c>
      <c r="I35" s="14" t="s">
        <v>948</v>
      </c>
      <c r="J35" s="14" t="s">
        <v>948</v>
      </c>
      <c r="K35" s="15" t="s">
        <v>948</v>
      </c>
    </row>
    <row r="36" spans="7:12" x14ac:dyDescent="0.3">
      <c r="G36" s="13" t="s">
        <v>43</v>
      </c>
      <c r="H36" s="14" t="s">
        <v>948</v>
      </c>
      <c r="I36" s="14" t="s">
        <v>948</v>
      </c>
      <c r="J36" s="14" t="s">
        <v>948</v>
      </c>
      <c r="K36" s="15" t="s">
        <v>948</v>
      </c>
    </row>
    <row r="37" spans="7:12" x14ac:dyDescent="0.3">
      <c r="G37" s="13" t="s">
        <v>44</v>
      </c>
      <c r="H37" s="14" t="s">
        <v>948</v>
      </c>
      <c r="I37" s="14" t="s">
        <v>948</v>
      </c>
      <c r="J37" s="14" t="s">
        <v>948</v>
      </c>
      <c r="K37" s="15" t="s">
        <v>948</v>
      </c>
    </row>
    <row r="38" spans="7:12" ht="15" thickBot="1" x14ac:dyDescent="0.35">
      <c r="G38" s="26" t="s">
        <v>76</v>
      </c>
      <c r="H38" s="21" t="s">
        <v>1905</v>
      </c>
      <c r="I38" s="21" t="s">
        <v>1906</v>
      </c>
      <c r="J38" s="21" t="s">
        <v>1907</v>
      </c>
      <c r="K38" s="22" t="s">
        <v>1908</v>
      </c>
    </row>
    <row r="39" spans="7:12" x14ac:dyDescent="0.3">
      <c r="G39" s="13" t="s">
        <v>45</v>
      </c>
      <c r="H39" s="14" t="s">
        <v>948</v>
      </c>
      <c r="I39" s="14" t="s">
        <v>948</v>
      </c>
      <c r="J39" s="14" t="s">
        <v>948</v>
      </c>
      <c r="K39" s="15" t="s">
        <v>948</v>
      </c>
      <c r="L39" s="32"/>
    </row>
    <row r="40" spans="7:12" x14ac:dyDescent="0.3">
      <c r="G40" s="13" t="s">
        <v>46</v>
      </c>
      <c r="H40" s="14" t="s">
        <v>948</v>
      </c>
      <c r="I40" s="14" t="s">
        <v>948</v>
      </c>
      <c r="J40" s="14" t="s">
        <v>948</v>
      </c>
      <c r="K40" s="15" t="s">
        <v>948</v>
      </c>
    </row>
    <row r="41" spans="7:12" x14ac:dyDescent="0.3">
      <c r="G41" s="13" t="s">
        <v>47</v>
      </c>
      <c r="H41" s="14" t="s">
        <v>948</v>
      </c>
      <c r="I41" s="14" t="s">
        <v>948</v>
      </c>
      <c r="J41" s="14" t="s">
        <v>948</v>
      </c>
      <c r="K41" s="15" t="s">
        <v>948</v>
      </c>
    </row>
    <row r="42" spans="7:12" x14ac:dyDescent="0.3">
      <c r="G42" s="13" t="s">
        <v>48</v>
      </c>
      <c r="H42" s="14" t="s">
        <v>1909</v>
      </c>
      <c r="I42" s="14" t="s">
        <v>1910</v>
      </c>
      <c r="J42" s="14" t="s">
        <v>1911</v>
      </c>
      <c r="K42" s="15" t="s">
        <v>1912</v>
      </c>
      <c r="L42" s="32"/>
    </row>
    <row r="43" spans="7:12" x14ac:dyDescent="0.3">
      <c r="G43" s="13" t="s">
        <v>49</v>
      </c>
      <c r="H43" s="14" t="s">
        <v>1913</v>
      </c>
      <c r="I43" s="14" t="s">
        <v>1914</v>
      </c>
      <c r="J43" s="14" t="s">
        <v>1915</v>
      </c>
      <c r="K43" s="15" t="s">
        <v>1916</v>
      </c>
    </row>
    <row r="44" spans="7:12" x14ac:dyDescent="0.3">
      <c r="G44" s="13" t="s">
        <v>50</v>
      </c>
      <c r="H44" s="14" t="s">
        <v>1917</v>
      </c>
      <c r="I44" s="14" t="s">
        <v>1366</v>
      </c>
      <c r="J44" s="14" t="s">
        <v>1918</v>
      </c>
      <c r="K44" s="15" t="s">
        <v>1919</v>
      </c>
    </row>
    <row r="45" spans="7:12" x14ac:dyDescent="0.3">
      <c r="G45" s="13" t="s">
        <v>51</v>
      </c>
      <c r="H45" s="14" t="s">
        <v>948</v>
      </c>
      <c r="I45" s="14" t="s">
        <v>948</v>
      </c>
      <c r="J45" s="14" t="s">
        <v>948</v>
      </c>
      <c r="K45" s="15" t="s">
        <v>948</v>
      </c>
    </row>
    <row r="46" spans="7:12" x14ac:dyDescent="0.3">
      <c r="G46" s="13" t="s">
        <v>52</v>
      </c>
      <c r="H46" s="14" t="s">
        <v>1917</v>
      </c>
      <c r="I46" s="14" t="s">
        <v>1366</v>
      </c>
      <c r="J46" s="14" t="s">
        <v>1918</v>
      </c>
      <c r="K46" s="15" t="s">
        <v>1919</v>
      </c>
    </row>
    <row r="47" spans="7:12" ht="15" thickBot="1" x14ac:dyDescent="0.35">
      <c r="G47" s="26" t="s">
        <v>53</v>
      </c>
      <c r="H47" s="21" t="s">
        <v>1920</v>
      </c>
      <c r="I47" s="21" t="s">
        <v>1921</v>
      </c>
      <c r="J47" s="21" t="s">
        <v>1922</v>
      </c>
      <c r="K47" s="22" t="s">
        <v>1923</v>
      </c>
    </row>
    <row r="48" spans="7:12" x14ac:dyDescent="0.3">
      <c r="G48" s="16" t="s">
        <v>77</v>
      </c>
      <c r="H48" s="17" t="s">
        <v>1924</v>
      </c>
      <c r="I48" s="17" t="s">
        <v>1925</v>
      </c>
      <c r="J48" s="17" t="s">
        <v>1926</v>
      </c>
      <c r="K48" s="18" t="s">
        <v>1927</v>
      </c>
    </row>
  </sheetData>
  <sheetProtection password="CE28" sheet="1" objects="1" scenarios="1"/>
  <conditionalFormatting sqref="A22 A16 A13:E15 A17:E21 G13:K48 M13:Q32 A23:E29">
    <cfRule type="expression" dxfId="79" priority="11">
      <formula>MOD(ROW(),2)=1</formula>
    </cfRule>
  </conditionalFormatting>
  <conditionalFormatting sqref="B22">
    <cfRule type="expression" dxfId="78" priority="10">
      <formula>MOD(ROW(),2)=1</formula>
    </cfRule>
  </conditionalFormatting>
  <conditionalFormatting sqref="B16">
    <cfRule type="expression" dxfId="77" priority="9">
      <formula>MOD(ROW(),2)=1</formula>
    </cfRule>
  </conditionalFormatting>
  <conditionalFormatting sqref="C16">
    <cfRule type="expression" dxfId="76" priority="8">
      <formula>MOD(ROW(),2)=1</formula>
    </cfRule>
  </conditionalFormatting>
  <conditionalFormatting sqref="D16">
    <cfRule type="expression" dxfId="75" priority="7">
      <formula>MOD(ROW(),2)=1</formula>
    </cfRule>
  </conditionalFormatting>
  <conditionalFormatting sqref="E16">
    <cfRule type="expression" dxfId="74" priority="6">
      <formula>MOD(ROW(),2)=1</formula>
    </cfRule>
  </conditionalFormatting>
  <conditionalFormatting sqref="C22">
    <cfRule type="expression" dxfId="73" priority="5">
      <formula>MOD(ROW(),2)=1</formula>
    </cfRule>
  </conditionalFormatting>
  <conditionalFormatting sqref="D22">
    <cfRule type="expression" dxfId="72" priority="4">
      <formula>MOD(ROW(),2)=1</formula>
    </cfRule>
  </conditionalFormatting>
  <conditionalFormatting sqref="E22">
    <cfRule type="expression" dxfId="71" priority="3">
      <formula>MOD(ROW(),2)=1</formula>
    </cfRule>
  </conditionalFormatting>
  <conditionalFormatting sqref="A1:B8">
    <cfRule type="expression" dxfId="70" priority="2">
      <formula>MOD(ROW(),2)=1</formula>
    </cfRule>
  </conditionalFormatting>
  <conditionalFormatting sqref="A11">
    <cfRule type="containsText" dxfId="69" priority="1" operator="containsText" text="This data is corrupt and cannot be trusted">
      <formula>NOT(ISERROR(SEARCH("This data is corrupt and cannot be trusted",A11)))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7985" r:id="rId4" name="Button 1">
              <controlPr defaultSize="0" print="0" autoFill="0" autoPict="0" macro="[0]!DeleteSheet">
                <anchor moveWithCells="1">
                  <from>
                    <xdr:col>2</xdr:col>
                    <xdr:colOff>53340</xdr:colOff>
                    <xdr:row>2</xdr:row>
                    <xdr:rowOff>53340</xdr:rowOff>
                  </from>
                  <to>
                    <xdr:col>2</xdr:col>
                    <xdr:colOff>693420</xdr:colOff>
                    <xdr:row>4</xdr:row>
                    <xdr:rowOff>137160</xdr:rowOff>
                  </to>
                </anchor>
              </controlPr>
            </control>
          </mc:Choice>
        </mc:AlternateContent>
        <mc:AlternateContent xmlns:mc="http://schemas.openxmlformats.org/markup-compatibility/2006">
          <mc:Choice Requires="x14">
            <control shapeId="297986" r:id="rId5" name="Button 2">
              <controlPr defaultSize="0" print="0" autoFill="0" autoPict="0" macro="[0]!General.BusinessInfo">
                <anchor moveWithCells="1">
                  <from>
                    <xdr:col>2</xdr:col>
                    <xdr:colOff>91440</xdr:colOff>
                    <xdr:row>0</xdr:row>
                    <xdr:rowOff>68580</xdr:rowOff>
                  </from>
                  <to>
                    <xdr:col>3</xdr:col>
                    <xdr:colOff>678180</xdr:colOff>
                    <xdr:row>1</xdr:row>
                    <xdr:rowOff>99060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9A9DE-8A0E-4F7D-93EE-E10170463A47}">
  <sheetPr codeName="Sheet16">
    <tabColor rgb="FF28B85C"/>
  </sheetPr>
  <dimension ref="A1:AB48"/>
  <sheetViews>
    <sheetView showGridLines="0" zoomScale="99" workbookViewId="0">
      <selection activeCell="N22" sqref="N22"/>
    </sheetView>
  </sheetViews>
  <sheetFormatPr defaultRowHeight="14.4" x14ac:dyDescent="0.3"/>
  <cols>
    <col min="1" max="1" width="34.77734375" style="30" customWidth="1"/>
    <col min="2" max="2" width="17.5546875" style="31" customWidth="1"/>
    <col min="3" max="5" width="10.88671875" style="30" bestFit="1" customWidth="1"/>
    <col min="6" max="6" width="8.88671875" style="30"/>
    <col min="7" max="7" width="31.33203125" style="30" bestFit="1" customWidth="1"/>
    <col min="8" max="8" width="16.6640625" style="30" bestFit="1" customWidth="1"/>
    <col min="9" max="11" width="12.33203125" style="30" bestFit="1" customWidth="1"/>
    <col min="12" max="12" width="9.88671875" style="30" bestFit="1" customWidth="1"/>
    <col min="13" max="13" width="36.6640625" style="30" bestFit="1" customWidth="1"/>
    <col min="14" max="16" width="12.21875" style="30" customWidth="1"/>
    <col min="17" max="17" width="12.109375" style="30" customWidth="1"/>
    <col min="18" max="26" width="8.88671875" style="30"/>
    <col min="27" max="27" width="10" style="55" bestFit="1" customWidth="1"/>
    <col min="28" max="28" width="8.88671875" style="55"/>
    <col min="29" max="16384" width="8.88671875" style="30"/>
  </cols>
  <sheetData>
    <row r="1" spans="1:28" x14ac:dyDescent="0.3">
      <c r="A1" s="8" t="s">
        <v>1590</v>
      </c>
      <c r="B1" s="7"/>
      <c r="C1" s="35" t="s">
        <v>1589</v>
      </c>
      <c r="D1" s="36" t="s">
        <v>80</v>
      </c>
      <c r="AA1" s="52" t="s">
        <v>946</v>
      </c>
      <c r="AB1" s="52" t="s">
        <v>947</v>
      </c>
    </row>
    <row r="2" spans="1:28" x14ac:dyDescent="0.3">
      <c r="A2" s="19" t="s">
        <v>6</v>
      </c>
      <c r="B2" s="14" t="s">
        <v>1591</v>
      </c>
      <c r="C2" s="37"/>
      <c r="D2" s="38"/>
      <c r="AA2" s="53">
        <v>43714</v>
      </c>
      <c r="AB2" s="54">
        <v>167.4</v>
      </c>
    </row>
    <row r="3" spans="1:28" x14ac:dyDescent="0.3">
      <c r="A3" s="19" t="s">
        <v>0</v>
      </c>
      <c r="B3" s="23">
        <v>171.6</v>
      </c>
      <c r="C3" s="66"/>
      <c r="AA3" s="53">
        <v>43713</v>
      </c>
      <c r="AB3" s="54">
        <v>169.8</v>
      </c>
    </row>
    <row r="4" spans="1:28" x14ac:dyDescent="0.3">
      <c r="A4" s="19" t="s">
        <v>2</v>
      </c>
      <c r="B4" s="15" t="s">
        <v>1592</v>
      </c>
      <c r="C4" s="67"/>
      <c r="AA4" s="53">
        <v>43712</v>
      </c>
      <c r="AB4" s="54">
        <v>168</v>
      </c>
    </row>
    <row r="5" spans="1:28" x14ac:dyDescent="0.3">
      <c r="A5" s="19" t="s">
        <v>3</v>
      </c>
      <c r="B5" s="15">
        <v>662.55</v>
      </c>
      <c r="C5" s="68"/>
      <c r="AA5" s="53">
        <v>43711</v>
      </c>
      <c r="AB5" s="54">
        <v>166.6</v>
      </c>
    </row>
    <row r="6" spans="1:28" x14ac:dyDescent="0.3">
      <c r="A6" s="19" t="s">
        <v>4</v>
      </c>
      <c r="B6" s="15">
        <v>0.26</v>
      </c>
      <c r="I6" s="30" t="s">
        <v>956</v>
      </c>
      <c r="AA6" s="53">
        <v>43710</v>
      </c>
      <c r="AB6" s="54">
        <v>169.4</v>
      </c>
    </row>
    <row r="7" spans="1:28" x14ac:dyDescent="0.3">
      <c r="A7" s="19" t="s">
        <v>1</v>
      </c>
      <c r="B7" s="15">
        <v>0.31</v>
      </c>
      <c r="AA7" s="53">
        <v>43707</v>
      </c>
      <c r="AB7" s="54">
        <v>173</v>
      </c>
    </row>
    <row r="8" spans="1:28" x14ac:dyDescent="0.3">
      <c r="A8" s="24" t="s">
        <v>5</v>
      </c>
      <c r="B8" s="18" t="s">
        <v>1593</v>
      </c>
      <c r="AA8" s="53">
        <v>43706</v>
      </c>
      <c r="AB8" s="54">
        <v>176.8</v>
      </c>
    </row>
    <row r="9" spans="1:28" x14ac:dyDescent="0.3">
      <c r="A9" s="33"/>
      <c r="B9" s="34"/>
      <c r="C9" s="33"/>
      <c r="AA9" s="53">
        <v>43705</v>
      </c>
      <c r="AB9" s="54">
        <v>182.6</v>
      </c>
    </row>
    <row r="10" spans="1:28" x14ac:dyDescent="0.3">
      <c r="A10" s="69" t="str">
        <f>"This is a copy of "&amp;CompName&amp;"'s financial data."</f>
        <v>This is a copy of Xvivo Perfusion AB (publ) (XVIVO.ST)'s financial data.</v>
      </c>
      <c r="B10" s="70"/>
      <c r="C10" s="71"/>
      <c r="D10" s="72"/>
      <c r="Q10" s="33"/>
      <c r="AA10" s="53">
        <v>43704</v>
      </c>
      <c r="AB10" s="54">
        <v>181.4</v>
      </c>
    </row>
    <row r="11" spans="1:28" x14ac:dyDescent="0.3">
      <c r="A11" s="33" t="str">
        <f>IF(D13=E13,"This data is corrupt and cannot be trusted.","")</f>
        <v/>
      </c>
      <c r="Q11" s="33"/>
      <c r="AA11" s="53">
        <v>43703</v>
      </c>
      <c r="AB11" s="54">
        <v>183.8</v>
      </c>
    </row>
    <row r="12" spans="1:28" x14ac:dyDescent="0.3">
      <c r="AA12" s="53">
        <v>43700</v>
      </c>
      <c r="AB12" s="54">
        <v>181.4</v>
      </c>
    </row>
    <row r="13" spans="1:28" x14ac:dyDescent="0.3">
      <c r="A13" s="9" t="s">
        <v>23</v>
      </c>
      <c r="B13" s="10">
        <v>43465</v>
      </c>
      <c r="C13" s="11">
        <v>43100</v>
      </c>
      <c r="D13" s="11">
        <v>42735</v>
      </c>
      <c r="E13" s="12">
        <v>42369</v>
      </c>
      <c r="G13" s="9" t="s">
        <v>24</v>
      </c>
      <c r="H13" s="10">
        <v>43465</v>
      </c>
      <c r="I13" s="10">
        <v>43100</v>
      </c>
      <c r="J13" s="10">
        <v>42735</v>
      </c>
      <c r="K13" s="25">
        <v>42369</v>
      </c>
      <c r="M13" s="9" t="s">
        <v>54</v>
      </c>
      <c r="N13" s="10">
        <v>43465</v>
      </c>
      <c r="O13" s="11">
        <v>43100</v>
      </c>
      <c r="P13" s="11">
        <v>42735</v>
      </c>
      <c r="Q13" s="12">
        <v>42369</v>
      </c>
      <c r="AA13" s="53">
        <v>43699</v>
      </c>
      <c r="AB13" s="54">
        <v>187.8</v>
      </c>
    </row>
    <row r="14" spans="1:28" x14ac:dyDescent="0.3">
      <c r="A14" s="13" t="s">
        <v>9</v>
      </c>
      <c r="B14" s="14" t="s">
        <v>1594</v>
      </c>
      <c r="C14" s="14" t="s">
        <v>1595</v>
      </c>
      <c r="D14" s="14" t="s">
        <v>1596</v>
      </c>
      <c r="E14" s="15" t="s">
        <v>1597</v>
      </c>
      <c r="G14" s="13" t="s">
        <v>25</v>
      </c>
      <c r="H14" s="14" t="s">
        <v>1644</v>
      </c>
      <c r="I14" s="14" t="s">
        <v>1645</v>
      </c>
      <c r="J14" s="14" t="s">
        <v>1646</v>
      </c>
      <c r="K14" s="15" t="s">
        <v>1647</v>
      </c>
      <c r="M14" s="13" t="s">
        <v>22</v>
      </c>
      <c r="N14" s="14" t="s">
        <v>1640</v>
      </c>
      <c r="O14" s="14" t="s">
        <v>1641</v>
      </c>
      <c r="P14" s="14" t="s">
        <v>1642</v>
      </c>
      <c r="Q14" s="15" t="s">
        <v>1643</v>
      </c>
      <c r="AA14" s="53">
        <v>43698</v>
      </c>
      <c r="AB14" s="54">
        <v>176.2</v>
      </c>
    </row>
    <row r="15" spans="1:28" x14ac:dyDescent="0.3">
      <c r="A15" s="13" t="s">
        <v>8</v>
      </c>
      <c r="B15" s="14" t="s">
        <v>1598</v>
      </c>
      <c r="C15" s="14" t="s">
        <v>1599</v>
      </c>
      <c r="D15" s="14" t="s">
        <v>1600</v>
      </c>
      <c r="E15" s="15" t="s">
        <v>1601</v>
      </c>
      <c r="G15" s="13" t="s">
        <v>26</v>
      </c>
      <c r="H15" s="14" t="s">
        <v>948</v>
      </c>
      <c r="I15" s="14" t="s">
        <v>948</v>
      </c>
      <c r="J15" s="14" t="s">
        <v>948</v>
      </c>
      <c r="K15" s="15" t="s">
        <v>948</v>
      </c>
      <c r="M15" s="13" t="s">
        <v>55</v>
      </c>
      <c r="N15" s="14" t="s">
        <v>1730</v>
      </c>
      <c r="O15" s="14" t="s">
        <v>1731</v>
      </c>
      <c r="P15" s="14" t="s">
        <v>1410</v>
      </c>
      <c r="Q15" s="15" t="s">
        <v>1732</v>
      </c>
      <c r="AA15" s="53">
        <v>43697</v>
      </c>
      <c r="AB15" s="54">
        <v>173</v>
      </c>
    </row>
    <row r="16" spans="1:28" x14ac:dyDescent="0.3">
      <c r="A16" s="16" t="s">
        <v>7</v>
      </c>
      <c r="B16" s="17" t="s">
        <v>1602</v>
      </c>
      <c r="C16" s="17" t="s">
        <v>1603</v>
      </c>
      <c r="D16" s="17" t="s">
        <v>1604</v>
      </c>
      <c r="E16" s="18" t="s">
        <v>1605</v>
      </c>
      <c r="G16" s="13" t="s">
        <v>27</v>
      </c>
      <c r="H16" s="14" t="s">
        <v>1648</v>
      </c>
      <c r="I16" s="14" t="s">
        <v>1649</v>
      </c>
      <c r="J16" s="14" t="s">
        <v>1650</v>
      </c>
      <c r="K16" s="15" t="s">
        <v>1651</v>
      </c>
      <c r="M16" s="13" t="s">
        <v>56</v>
      </c>
      <c r="N16" s="14" t="s">
        <v>1733</v>
      </c>
      <c r="O16" s="14" t="s">
        <v>1734</v>
      </c>
      <c r="P16" s="14" t="s">
        <v>1735</v>
      </c>
      <c r="Q16" s="15" t="s">
        <v>1736</v>
      </c>
      <c r="AA16" s="53">
        <v>43696</v>
      </c>
      <c r="AB16" s="54">
        <v>171</v>
      </c>
    </row>
    <row r="17" spans="1:17" x14ac:dyDescent="0.3">
      <c r="A17" s="13" t="s">
        <v>10</v>
      </c>
      <c r="B17" s="14" t="s">
        <v>1606</v>
      </c>
      <c r="C17" s="14" t="s">
        <v>1607</v>
      </c>
      <c r="D17" s="14" t="s">
        <v>1608</v>
      </c>
      <c r="E17" s="15" t="s">
        <v>1609</v>
      </c>
      <c r="G17" s="19" t="s">
        <v>28</v>
      </c>
      <c r="H17" s="14" t="s">
        <v>1652</v>
      </c>
      <c r="I17" s="14" t="s">
        <v>1653</v>
      </c>
      <c r="J17" s="14" t="s">
        <v>1654</v>
      </c>
      <c r="K17" s="15" t="s">
        <v>1655</v>
      </c>
      <c r="M17" s="13" t="s">
        <v>57</v>
      </c>
      <c r="N17" s="14" t="s">
        <v>1737</v>
      </c>
      <c r="O17" s="14" t="s">
        <v>1738</v>
      </c>
      <c r="P17" s="14" t="s">
        <v>1739</v>
      </c>
      <c r="Q17" s="15" t="s">
        <v>1740</v>
      </c>
    </row>
    <row r="18" spans="1:17" x14ac:dyDescent="0.3">
      <c r="A18" s="13" t="s">
        <v>11</v>
      </c>
      <c r="B18" s="14" t="s">
        <v>1610</v>
      </c>
      <c r="C18" s="14" t="s">
        <v>1611</v>
      </c>
      <c r="D18" s="14" t="s">
        <v>1612</v>
      </c>
      <c r="E18" s="15" t="s">
        <v>1613</v>
      </c>
      <c r="G18" s="13" t="s">
        <v>29</v>
      </c>
      <c r="H18" s="14" t="s">
        <v>948</v>
      </c>
      <c r="I18" s="14" t="s">
        <v>948</v>
      </c>
      <c r="J18" s="14" t="s">
        <v>948</v>
      </c>
      <c r="K18" s="15" t="s">
        <v>948</v>
      </c>
      <c r="M18" s="13" t="s">
        <v>58</v>
      </c>
      <c r="N18" s="14">
        <v>0</v>
      </c>
      <c r="O18" s="14">
        <v>0</v>
      </c>
      <c r="P18" s="14">
        <v>0</v>
      </c>
      <c r="Q18" s="15">
        <v>0</v>
      </c>
    </row>
    <row r="19" spans="1:17" x14ac:dyDescent="0.3">
      <c r="A19" s="13" t="s">
        <v>13</v>
      </c>
      <c r="B19" s="14" t="s">
        <v>948</v>
      </c>
      <c r="C19" s="14" t="s">
        <v>948</v>
      </c>
      <c r="D19" s="14" t="s">
        <v>948</v>
      </c>
      <c r="E19" s="15" t="s">
        <v>948</v>
      </c>
      <c r="G19" s="24" t="s">
        <v>73</v>
      </c>
      <c r="H19" s="17" t="s">
        <v>1656</v>
      </c>
      <c r="I19" s="17" t="s">
        <v>1657</v>
      </c>
      <c r="J19" s="17" t="s">
        <v>1658</v>
      </c>
      <c r="K19" s="18" t="s">
        <v>1659</v>
      </c>
      <c r="M19" s="13" t="s">
        <v>59</v>
      </c>
      <c r="N19" s="14" t="s">
        <v>1741</v>
      </c>
      <c r="O19" s="14" t="s">
        <v>1742</v>
      </c>
      <c r="P19" s="14" t="s">
        <v>1743</v>
      </c>
      <c r="Q19" s="15" t="s">
        <v>1744</v>
      </c>
    </row>
    <row r="20" spans="1:17" x14ac:dyDescent="0.3">
      <c r="A20" s="13" t="s">
        <v>14</v>
      </c>
      <c r="B20" s="14" t="s">
        <v>1614</v>
      </c>
      <c r="C20" s="14" t="s">
        <v>1615</v>
      </c>
      <c r="D20" s="14" t="s">
        <v>1616</v>
      </c>
      <c r="E20" s="15" t="s">
        <v>1462</v>
      </c>
      <c r="G20" s="13" t="s">
        <v>30</v>
      </c>
      <c r="H20" s="14" t="s">
        <v>1660</v>
      </c>
      <c r="I20" s="14" t="s">
        <v>1660</v>
      </c>
      <c r="J20" s="14" t="s">
        <v>948</v>
      </c>
      <c r="K20" s="15" t="s">
        <v>948</v>
      </c>
      <c r="M20" s="13" t="s">
        <v>60</v>
      </c>
      <c r="N20" s="14" t="s">
        <v>1745</v>
      </c>
      <c r="O20" s="14" t="s">
        <v>1746</v>
      </c>
      <c r="P20" s="14" t="s">
        <v>1747</v>
      </c>
      <c r="Q20" s="15" t="s">
        <v>1748</v>
      </c>
    </row>
    <row r="21" spans="1:17" x14ac:dyDescent="0.3">
      <c r="A21" s="13" t="s">
        <v>15</v>
      </c>
      <c r="B21" s="14" t="s">
        <v>1617</v>
      </c>
      <c r="C21" s="14" t="s">
        <v>1618</v>
      </c>
      <c r="D21" s="14" t="s">
        <v>1619</v>
      </c>
      <c r="E21" s="15" t="s">
        <v>1620</v>
      </c>
      <c r="G21" s="13" t="s">
        <v>31</v>
      </c>
      <c r="H21" s="14" t="s">
        <v>1661</v>
      </c>
      <c r="I21" s="14" t="s">
        <v>963</v>
      </c>
      <c r="J21" s="14" t="s">
        <v>1662</v>
      </c>
      <c r="K21" s="15" t="s">
        <v>1663</v>
      </c>
      <c r="M21" s="27" t="s">
        <v>69</v>
      </c>
      <c r="N21" s="28" t="s">
        <v>1749</v>
      </c>
      <c r="O21" s="28" t="s">
        <v>1750</v>
      </c>
      <c r="P21" s="28" t="s">
        <v>1751</v>
      </c>
      <c r="Q21" s="29" t="s">
        <v>1752</v>
      </c>
    </row>
    <row r="22" spans="1:17" x14ac:dyDescent="0.3">
      <c r="A22" s="16" t="s">
        <v>21</v>
      </c>
      <c r="B22" s="17" t="s">
        <v>1621</v>
      </c>
      <c r="C22" s="17" t="s">
        <v>1622</v>
      </c>
      <c r="D22" s="17" t="s">
        <v>1623</v>
      </c>
      <c r="E22" s="18" t="s">
        <v>1624</v>
      </c>
      <c r="G22" s="13" t="s">
        <v>32</v>
      </c>
      <c r="H22" s="14" t="s">
        <v>1664</v>
      </c>
      <c r="I22" s="14" t="s">
        <v>1665</v>
      </c>
      <c r="J22" s="14" t="s">
        <v>1666</v>
      </c>
      <c r="K22" s="15" t="s">
        <v>1667</v>
      </c>
      <c r="M22" s="13" t="s">
        <v>61</v>
      </c>
      <c r="N22" s="14" t="s">
        <v>1753</v>
      </c>
      <c r="O22" s="14" t="s">
        <v>1754</v>
      </c>
      <c r="P22" s="14" t="s">
        <v>1755</v>
      </c>
      <c r="Q22" s="15" t="s">
        <v>1756</v>
      </c>
    </row>
    <row r="23" spans="1:17" x14ac:dyDescent="0.3">
      <c r="A23" s="13" t="s">
        <v>16</v>
      </c>
      <c r="B23" s="14" t="s">
        <v>1625</v>
      </c>
      <c r="C23" s="14" t="s">
        <v>1626</v>
      </c>
      <c r="D23" s="14" t="s">
        <v>1627</v>
      </c>
      <c r="E23" s="15" t="s">
        <v>1628</v>
      </c>
      <c r="G23" s="13" t="s">
        <v>33</v>
      </c>
      <c r="H23" s="14" t="s">
        <v>1668</v>
      </c>
      <c r="I23" s="14" t="s">
        <v>1669</v>
      </c>
      <c r="J23" s="14" t="s">
        <v>1670</v>
      </c>
      <c r="K23" s="15" t="s">
        <v>973</v>
      </c>
      <c r="M23" s="13" t="s">
        <v>62</v>
      </c>
      <c r="N23" s="14">
        <v>0</v>
      </c>
      <c r="O23" s="14" t="s">
        <v>1757</v>
      </c>
      <c r="P23" s="14" t="s">
        <v>1757</v>
      </c>
      <c r="Q23" s="15" t="s">
        <v>1758</v>
      </c>
    </row>
    <row r="24" spans="1:17" x14ac:dyDescent="0.3">
      <c r="A24" s="13" t="s">
        <v>17</v>
      </c>
      <c r="B24" s="14" t="s">
        <v>1621</v>
      </c>
      <c r="C24" s="14" t="s">
        <v>1622</v>
      </c>
      <c r="D24" s="14" t="s">
        <v>1623</v>
      </c>
      <c r="E24" s="15" t="s">
        <v>1624</v>
      </c>
      <c r="G24" s="13" t="s">
        <v>34</v>
      </c>
      <c r="H24" s="14" t="s">
        <v>948</v>
      </c>
      <c r="I24" s="14" t="s">
        <v>948</v>
      </c>
      <c r="J24" s="14" t="s">
        <v>948</v>
      </c>
      <c r="K24" s="15" t="s">
        <v>948</v>
      </c>
      <c r="M24" s="13" t="s">
        <v>63</v>
      </c>
      <c r="N24" s="14">
        <v>0</v>
      </c>
      <c r="O24" s="14">
        <v>0</v>
      </c>
      <c r="P24" s="14">
        <v>0</v>
      </c>
      <c r="Q24" s="15">
        <v>0</v>
      </c>
    </row>
    <row r="25" spans="1:17" x14ac:dyDescent="0.3">
      <c r="A25" s="13" t="s">
        <v>18</v>
      </c>
      <c r="B25" s="14" t="s">
        <v>1629</v>
      </c>
      <c r="C25" s="14" t="s">
        <v>1630</v>
      </c>
      <c r="D25" s="14" t="s">
        <v>1631</v>
      </c>
      <c r="E25" s="15" t="s">
        <v>1632</v>
      </c>
      <c r="G25" s="13" t="s">
        <v>35</v>
      </c>
      <c r="H25" s="14" t="s">
        <v>1671</v>
      </c>
      <c r="I25" s="14" t="s">
        <v>1672</v>
      </c>
      <c r="J25" s="14" t="s">
        <v>1673</v>
      </c>
      <c r="K25" s="15" t="s">
        <v>1674</v>
      </c>
      <c r="M25" s="27" t="s">
        <v>70</v>
      </c>
      <c r="N25" s="28" t="s">
        <v>1759</v>
      </c>
      <c r="O25" s="28" t="s">
        <v>1760</v>
      </c>
      <c r="P25" s="28" t="s">
        <v>1761</v>
      </c>
      <c r="Q25" s="29" t="s">
        <v>1762</v>
      </c>
    </row>
    <row r="26" spans="1:17" x14ac:dyDescent="0.3">
      <c r="A26" s="13" t="s">
        <v>19</v>
      </c>
      <c r="B26" s="14" t="s">
        <v>1633</v>
      </c>
      <c r="C26" s="14" t="s">
        <v>1634</v>
      </c>
      <c r="D26" s="14" t="s">
        <v>1635</v>
      </c>
      <c r="E26" s="15" t="s">
        <v>1636</v>
      </c>
      <c r="G26" s="13" t="s">
        <v>36</v>
      </c>
      <c r="H26" s="14" t="s">
        <v>1675</v>
      </c>
      <c r="I26" s="14" t="s">
        <v>1676</v>
      </c>
      <c r="J26" s="14" t="s">
        <v>1677</v>
      </c>
      <c r="K26" s="15" t="s">
        <v>1678</v>
      </c>
      <c r="M26" s="13" t="s">
        <v>64</v>
      </c>
      <c r="N26" s="14">
        <v>0</v>
      </c>
      <c r="O26" s="14">
        <v>0</v>
      </c>
      <c r="P26" s="14">
        <v>0</v>
      </c>
      <c r="Q26" s="15">
        <v>0</v>
      </c>
    </row>
    <row r="27" spans="1:17" ht="15" thickBot="1" x14ac:dyDescent="0.35">
      <c r="A27" s="13" t="s">
        <v>20</v>
      </c>
      <c r="B27" s="14" t="s">
        <v>1637</v>
      </c>
      <c r="C27" s="14" t="s">
        <v>959</v>
      </c>
      <c r="D27" s="14" t="s">
        <v>1638</v>
      </c>
      <c r="E27" s="15" t="s">
        <v>1639</v>
      </c>
      <c r="G27" s="26" t="s">
        <v>74</v>
      </c>
      <c r="H27" s="21" t="s">
        <v>1679</v>
      </c>
      <c r="I27" s="21" t="s">
        <v>1680</v>
      </c>
      <c r="J27" s="21" t="s">
        <v>1681</v>
      </c>
      <c r="K27" s="22" t="s">
        <v>1682</v>
      </c>
      <c r="M27" s="13" t="s">
        <v>65</v>
      </c>
      <c r="N27" s="14">
        <v>0</v>
      </c>
      <c r="O27" s="14">
        <v>0</v>
      </c>
      <c r="P27" s="14">
        <v>0</v>
      </c>
      <c r="Q27" s="15">
        <v>0</v>
      </c>
    </row>
    <row r="28" spans="1:17" x14ac:dyDescent="0.3">
      <c r="A28" s="19" t="s">
        <v>78</v>
      </c>
      <c r="B28" s="14" t="s">
        <v>948</v>
      </c>
      <c r="C28" s="14" t="s">
        <v>948</v>
      </c>
      <c r="D28" s="14" t="s">
        <v>948</v>
      </c>
      <c r="E28" s="15" t="s">
        <v>948</v>
      </c>
      <c r="G28" s="13"/>
      <c r="H28" s="14"/>
      <c r="I28" s="14"/>
      <c r="J28" s="14"/>
      <c r="K28" s="15"/>
      <c r="M28" s="13" t="s">
        <v>66</v>
      </c>
      <c r="N28" s="14">
        <v>0</v>
      </c>
      <c r="O28" s="14">
        <v>0</v>
      </c>
      <c r="P28" s="14">
        <v>0</v>
      </c>
      <c r="Q28" s="15">
        <v>0</v>
      </c>
    </row>
    <row r="29" spans="1:17" ht="15" thickBot="1" x14ac:dyDescent="0.35">
      <c r="A29" s="20" t="s">
        <v>22</v>
      </c>
      <c r="B29" s="21" t="s">
        <v>1640</v>
      </c>
      <c r="C29" s="21" t="s">
        <v>1641</v>
      </c>
      <c r="D29" s="21" t="s">
        <v>1642</v>
      </c>
      <c r="E29" s="22" t="s">
        <v>1643</v>
      </c>
      <c r="G29" s="13" t="s">
        <v>37</v>
      </c>
      <c r="H29" s="14" t="s">
        <v>1683</v>
      </c>
      <c r="I29" s="14" t="s">
        <v>1684</v>
      </c>
      <c r="J29" s="14" t="s">
        <v>1685</v>
      </c>
      <c r="K29" s="15" t="s">
        <v>1686</v>
      </c>
      <c r="M29" s="13" t="s">
        <v>67</v>
      </c>
      <c r="N29" s="14" t="s">
        <v>1763</v>
      </c>
      <c r="O29" s="14" t="s">
        <v>1764</v>
      </c>
      <c r="P29" s="14" t="s">
        <v>1765</v>
      </c>
      <c r="Q29" s="15" t="s">
        <v>1766</v>
      </c>
    </row>
    <row r="30" spans="1:17" x14ac:dyDescent="0.3">
      <c r="G30" s="13" t="s">
        <v>38</v>
      </c>
      <c r="H30" s="14" t="s">
        <v>948</v>
      </c>
      <c r="I30" s="14" t="s">
        <v>948</v>
      </c>
      <c r="J30" s="14" t="s">
        <v>948</v>
      </c>
      <c r="K30" s="15" t="s">
        <v>948</v>
      </c>
      <c r="M30" s="27" t="s">
        <v>71</v>
      </c>
      <c r="N30" s="28" t="s">
        <v>1767</v>
      </c>
      <c r="O30" s="28" t="s">
        <v>1768</v>
      </c>
      <c r="P30" s="28" t="s">
        <v>1765</v>
      </c>
      <c r="Q30" s="29" t="s">
        <v>1766</v>
      </c>
    </row>
    <row r="31" spans="1:17" x14ac:dyDescent="0.3">
      <c r="G31" s="13" t="s">
        <v>39</v>
      </c>
      <c r="H31" s="14" t="s">
        <v>1687</v>
      </c>
      <c r="I31" s="14" t="s">
        <v>1688</v>
      </c>
      <c r="J31" s="14" t="s">
        <v>1689</v>
      </c>
      <c r="K31" s="15" t="s">
        <v>1690</v>
      </c>
      <c r="M31" s="13" t="s">
        <v>68</v>
      </c>
      <c r="N31" s="14" t="s">
        <v>1769</v>
      </c>
      <c r="O31" s="14" t="s">
        <v>1770</v>
      </c>
      <c r="P31" s="14" t="s">
        <v>1771</v>
      </c>
      <c r="Q31" s="15" t="s">
        <v>1772</v>
      </c>
    </row>
    <row r="32" spans="1:17" x14ac:dyDescent="0.3">
      <c r="G32" s="24" t="s">
        <v>75</v>
      </c>
      <c r="H32" s="17" t="s">
        <v>1691</v>
      </c>
      <c r="I32" s="17" t="s">
        <v>1692</v>
      </c>
      <c r="J32" s="17" t="s">
        <v>1693</v>
      </c>
      <c r="K32" s="18" t="s">
        <v>1694</v>
      </c>
      <c r="M32" s="16" t="s">
        <v>72</v>
      </c>
      <c r="N32" s="17" t="s">
        <v>1773</v>
      </c>
      <c r="O32" s="17" t="s">
        <v>1774</v>
      </c>
      <c r="P32" s="17" t="s">
        <v>1775</v>
      </c>
      <c r="Q32" s="18" t="s">
        <v>1776</v>
      </c>
    </row>
    <row r="33" spans="7:12" x14ac:dyDescent="0.3">
      <c r="G33" s="13" t="s">
        <v>40</v>
      </c>
      <c r="H33" s="14" t="s">
        <v>948</v>
      </c>
      <c r="I33" s="14" t="s">
        <v>948</v>
      </c>
      <c r="J33" s="14" t="s">
        <v>948</v>
      </c>
      <c r="K33" s="15" t="s">
        <v>948</v>
      </c>
    </row>
    <row r="34" spans="7:12" x14ac:dyDescent="0.3">
      <c r="G34" s="13" t="s">
        <v>41</v>
      </c>
      <c r="H34" s="14" t="s">
        <v>960</v>
      </c>
      <c r="I34" s="14" t="s">
        <v>1695</v>
      </c>
      <c r="J34" s="14" t="s">
        <v>1696</v>
      </c>
      <c r="K34" s="15" t="s">
        <v>1697</v>
      </c>
    </row>
    <row r="35" spans="7:12" x14ac:dyDescent="0.3">
      <c r="G35" s="13" t="s">
        <v>42</v>
      </c>
      <c r="H35" s="14" t="s">
        <v>1698</v>
      </c>
      <c r="I35" s="14" t="s">
        <v>1699</v>
      </c>
      <c r="J35" s="14" t="s">
        <v>1700</v>
      </c>
      <c r="K35" s="15" t="s">
        <v>1701</v>
      </c>
    </row>
    <row r="36" spans="7:12" x14ac:dyDescent="0.3">
      <c r="G36" s="13" t="s">
        <v>43</v>
      </c>
      <c r="H36" s="14" t="s">
        <v>948</v>
      </c>
      <c r="I36" s="14" t="s">
        <v>948</v>
      </c>
      <c r="J36" s="14" t="s">
        <v>948</v>
      </c>
      <c r="K36" s="15" t="s">
        <v>948</v>
      </c>
    </row>
    <row r="37" spans="7:12" x14ac:dyDescent="0.3">
      <c r="G37" s="13" t="s">
        <v>44</v>
      </c>
      <c r="H37" s="14" t="s">
        <v>948</v>
      </c>
      <c r="I37" s="14" t="s">
        <v>948</v>
      </c>
      <c r="J37" s="14" t="s">
        <v>948</v>
      </c>
      <c r="K37" s="15" t="s">
        <v>948</v>
      </c>
    </row>
    <row r="38" spans="7:12" ht="15" thickBot="1" x14ac:dyDescent="0.35">
      <c r="G38" s="26" t="s">
        <v>76</v>
      </c>
      <c r="H38" s="21" t="s">
        <v>1702</v>
      </c>
      <c r="I38" s="21" t="s">
        <v>1703</v>
      </c>
      <c r="J38" s="21" t="s">
        <v>1704</v>
      </c>
      <c r="K38" s="22" t="s">
        <v>1705</v>
      </c>
    </row>
    <row r="39" spans="7:12" x14ac:dyDescent="0.3">
      <c r="G39" s="13" t="s">
        <v>45</v>
      </c>
      <c r="H39" s="14" t="s">
        <v>948</v>
      </c>
      <c r="I39" s="14" t="s">
        <v>948</v>
      </c>
      <c r="J39" s="14" t="s">
        <v>948</v>
      </c>
      <c r="K39" s="15" t="s">
        <v>948</v>
      </c>
      <c r="L39" s="32"/>
    </row>
    <row r="40" spans="7:12" x14ac:dyDescent="0.3">
      <c r="G40" s="13" t="s">
        <v>46</v>
      </c>
      <c r="H40" s="14" t="s">
        <v>948</v>
      </c>
      <c r="I40" s="14" t="s">
        <v>948</v>
      </c>
      <c r="J40" s="14" t="s">
        <v>948</v>
      </c>
      <c r="K40" s="15" t="s">
        <v>948</v>
      </c>
    </row>
    <row r="41" spans="7:12" x14ac:dyDescent="0.3">
      <c r="G41" s="13" t="s">
        <v>47</v>
      </c>
      <c r="H41" s="14" t="s">
        <v>948</v>
      </c>
      <c r="I41" s="14" t="s">
        <v>948</v>
      </c>
      <c r="J41" s="14" t="s">
        <v>948</v>
      </c>
      <c r="K41" s="15" t="s">
        <v>948</v>
      </c>
    </row>
    <row r="42" spans="7:12" x14ac:dyDescent="0.3">
      <c r="G42" s="13" t="s">
        <v>48</v>
      </c>
      <c r="H42" s="14" t="s">
        <v>1706</v>
      </c>
      <c r="I42" s="14" t="s">
        <v>1707</v>
      </c>
      <c r="J42" s="14" t="s">
        <v>1708</v>
      </c>
      <c r="K42" s="15" t="s">
        <v>1709</v>
      </c>
      <c r="L42" s="32"/>
    </row>
    <row r="43" spans="7:12" x14ac:dyDescent="0.3">
      <c r="G43" s="13" t="s">
        <v>49</v>
      </c>
      <c r="H43" s="14" t="s">
        <v>1710</v>
      </c>
      <c r="I43" s="14" t="s">
        <v>1711</v>
      </c>
      <c r="J43" s="14" t="s">
        <v>1712</v>
      </c>
      <c r="K43" s="15" t="s">
        <v>1713</v>
      </c>
    </row>
    <row r="44" spans="7:12" x14ac:dyDescent="0.3">
      <c r="G44" s="13" t="s">
        <v>50</v>
      </c>
      <c r="H44" s="14" t="s">
        <v>1714</v>
      </c>
      <c r="I44" s="14" t="s">
        <v>1715</v>
      </c>
      <c r="J44" s="14" t="s">
        <v>1716</v>
      </c>
      <c r="K44" s="15" t="s">
        <v>1717</v>
      </c>
    </row>
    <row r="45" spans="7:12" x14ac:dyDescent="0.3">
      <c r="G45" s="13" t="s">
        <v>51</v>
      </c>
      <c r="H45" s="14" t="s">
        <v>1718</v>
      </c>
      <c r="I45" s="14" t="s">
        <v>1719</v>
      </c>
      <c r="J45" s="14" t="s">
        <v>1720</v>
      </c>
      <c r="K45" s="15" t="s">
        <v>1721</v>
      </c>
    </row>
    <row r="46" spans="7:12" x14ac:dyDescent="0.3">
      <c r="G46" s="13" t="s">
        <v>52</v>
      </c>
      <c r="H46" s="14" t="s">
        <v>1714</v>
      </c>
      <c r="I46" s="14" t="s">
        <v>1715</v>
      </c>
      <c r="J46" s="14" t="s">
        <v>1716</v>
      </c>
      <c r="K46" s="15" t="s">
        <v>1717</v>
      </c>
    </row>
    <row r="47" spans="7:12" ht="15" thickBot="1" x14ac:dyDescent="0.35">
      <c r="G47" s="26" t="s">
        <v>53</v>
      </c>
      <c r="H47" s="21" t="s">
        <v>1722</v>
      </c>
      <c r="I47" s="21" t="s">
        <v>1723</v>
      </c>
      <c r="J47" s="21" t="s">
        <v>1724</v>
      </c>
      <c r="K47" s="22" t="s">
        <v>1725</v>
      </c>
    </row>
    <row r="48" spans="7:12" x14ac:dyDescent="0.3">
      <c r="G48" s="16" t="s">
        <v>77</v>
      </c>
      <c r="H48" s="17" t="s">
        <v>1726</v>
      </c>
      <c r="I48" s="17" t="s">
        <v>1727</v>
      </c>
      <c r="J48" s="17" t="s">
        <v>1728</v>
      </c>
      <c r="K48" s="18" t="s">
        <v>1729</v>
      </c>
    </row>
  </sheetData>
  <sheetProtection password="CE28" sheet="1" objects="1" scenarios="1"/>
  <conditionalFormatting sqref="A22 A16 A13:E15 A17:E21 G13:K48 M13:Q32 A23:E29">
    <cfRule type="expression" dxfId="68" priority="11">
      <formula>MOD(ROW(),2)=1</formula>
    </cfRule>
  </conditionalFormatting>
  <conditionalFormatting sqref="B22">
    <cfRule type="expression" dxfId="67" priority="10">
      <formula>MOD(ROW(),2)=1</formula>
    </cfRule>
  </conditionalFormatting>
  <conditionalFormatting sqref="B16">
    <cfRule type="expression" dxfId="66" priority="9">
      <formula>MOD(ROW(),2)=1</formula>
    </cfRule>
  </conditionalFormatting>
  <conditionalFormatting sqref="C16">
    <cfRule type="expression" dxfId="65" priority="8">
      <formula>MOD(ROW(),2)=1</formula>
    </cfRule>
  </conditionalFormatting>
  <conditionalFormatting sqref="D16">
    <cfRule type="expression" dxfId="64" priority="7">
      <formula>MOD(ROW(),2)=1</formula>
    </cfRule>
  </conditionalFormatting>
  <conditionalFormatting sqref="E16">
    <cfRule type="expression" dxfId="63" priority="6">
      <formula>MOD(ROW(),2)=1</formula>
    </cfRule>
  </conditionalFormatting>
  <conditionalFormatting sqref="C22">
    <cfRule type="expression" dxfId="62" priority="5">
      <formula>MOD(ROW(),2)=1</formula>
    </cfRule>
  </conditionalFormatting>
  <conditionalFormatting sqref="D22">
    <cfRule type="expression" dxfId="61" priority="4">
      <formula>MOD(ROW(),2)=1</formula>
    </cfRule>
  </conditionalFormatting>
  <conditionalFormatting sqref="E22">
    <cfRule type="expression" dxfId="60" priority="3">
      <formula>MOD(ROW(),2)=1</formula>
    </cfRule>
  </conditionalFormatting>
  <conditionalFormatting sqref="A1:B8">
    <cfRule type="expression" dxfId="59" priority="2">
      <formula>MOD(ROW(),2)=1</formula>
    </cfRule>
  </conditionalFormatting>
  <conditionalFormatting sqref="A11">
    <cfRule type="containsText" dxfId="58" priority="1" operator="containsText" text="This data is corrupt and cannot be trusted">
      <formula>NOT(ISERROR(SEARCH("This data is corrupt and cannot be trusted",A11)))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3649" r:id="rId4" name="Button 1">
              <controlPr defaultSize="0" print="0" autoFill="0" autoPict="0" macro="[0]!DeleteSheet">
                <anchor moveWithCells="1">
                  <from>
                    <xdr:col>2</xdr:col>
                    <xdr:colOff>53340</xdr:colOff>
                    <xdr:row>2</xdr:row>
                    <xdr:rowOff>53340</xdr:rowOff>
                  </from>
                  <to>
                    <xdr:col>2</xdr:col>
                    <xdr:colOff>693420</xdr:colOff>
                    <xdr:row>4</xdr:row>
                    <xdr:rowOff>137160</xdr:rowOff>
                  </to>
                </anchor>
              </controlPr>
            </control>
          </mc:Choice>
        </mc:AlternateContent>
        <mc:AlternateContent xmlns:mc="http://schemas.openxmlformats.org/markup-compatibility/2006">
          <mc:Choice Requires="x14">
            <control shapeId="283650" r:id="rId5" name="Button 2">
              <controlPr defaultSize="0" print="0" autoFill="0" autoPict="0" macro="[0]!General.BusinessInfo">
                <anchor moveWithCells="1">
                  <from>
                    <xdr:col>2</xdr:col>
                    <xdr:colOff>91440</xdr:colOff>
                    <xdr:row>0</xdr:row>
                    <xdr:rowOff>68580</xdr:rowOff>
                  </from>
                  <to>
                    <xdr:col>3</xdr:col>
                    <xdr:colOff>678180</xdr:colOff>
                    <xdr:row>1</xdr:row>
                    <xdr:rowOff>99060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8677C-0F41-480C-A717-789CB5772E24}">
  <sheetPr codeName="Sheet15">
    <tabColor rgb="FF069430"/>
  </sheetPr>
  <dimension ref="A1:AB48"/>
  <sheetViews>
    <sheetView showGridLines="0" zoomScale="99" workbookViewId="0"/>
  </sheetViews>
  <sheetFormatPr defaultRowHeight="14.4" x14ac:dyDescent="0.3"/>
  <cols>
    <col min="1" max="1" width="34.77734375" style="30" customWidth="1"/>
    <col min="2" max="2" width="17.5546875" style="31" customWidth="1"/>
    <col min="3" max="5" width="10.88671875" style="30" bestFit="1" customWidth="1"/>
    <col min="6" max="6" width="8.88671875" style="30"/>
    <col min="7" max="7" width="31.33203125" style="30" bestFit="1" customWidth="1"/>
    <col min="8" max="8" width="16.6640625" style="30" bestFit="1" customWidth="1"/>
    <col min="9" max="11" width="12.33203125" style="30" bestFit="1" customWidth="1"/>
    <col min="12" max="12" width="9.88671875" style="30" bestFit="1" customWidth="1"/>
    <col min="13" max="13" width="36.6640625" style="30" bestFit="1" customWidth="1"/>
    <col min="14" max="16" width="12.21875" style="30" customWidth="1"/>
    <col min="17" max="17" width="12.109375" style="30" customWidth="1"/>
    <col min="18" max="26" width="8.88671875" style="30"/>
    <col min="27" max="27" width="10" style="55" bestFit="1" customWidth="1"/>
    <col min="28" max="28" width="8.88671875" style="55"/>
    <col min="29" max="16384" width="8.88671875" style="30"/>
  </cols>
  <sheetData>
    <row r="1" spans="1:28" x14ac:dyDescent="0.3">
      <c r="A1" s="8" t="s">
        <v>1403</v>
      </c>
      <c r="B1" s="7"/>
      <c r="C1" s="35" t="s">
        <v>1402</v>
      </c>
      <c r="D1" s="36" t="s">
        <v>80</v>
      </c>
      <c r="AA1" s="52" t="s">
        <v>946</v>
      </c>
      <c r="AB1" s="52" t="s">
        <v>947</v>
      </c>
    </row>
    <row r="2" spans="1:28" x14ac:dyDescent="0.3">
      <c r="A2" s="19" t="s">
        <v>6</v>
      </c>
      <c r="B2" s="14" t="s">
        <v>955</v>
      </c>
      <c r="C2" s="37"/>
      <c r="D2" s="38"/>
      <c r="AA2" s="53">
        <v>43714</v>
      </c>
      <c r="AB2" s="54">
        <v>0.14299999999999999</v>
      </c>
    </row>
    <row r="3" spans="1:28" x14ac:dyDescent="0.3">
      <c r="A3" s="19" t="s">
        <v>0</v>
      </c>
      <c r="B3" s="23">
        <v>0.14699999999999999</v>
      </c>
      <c r="C3" s="66"/>
      <c r="AA3" s="53">
        <v>43713</v>
      </c>
      <c r="AB3" s="54">
        <v>0.14199999999999999</v>
      </c>
    </row>
    <row r="4" spans="1:28" x14ac:dyDescent="0.3">
      <c r="A4" s="19" t="s">
        <v>2</v>
      </c>
      <c r="B4" s="15" t="s">
        <v>1404</v>
      </c>
      <c r="C4" s="67"/>
      <c r="AA4" s="53">
        <v>43712</v>
      </c>
      <c r="AB4" s="54">
        <v>0.14199999999999999</v>
      </c>
    </row>
    <row r="5" spans="1:28" x14ac:dyDescent="0.3">
      <c r="A5" s="19" t="s">
        <v>3</v>
      </c>
      <c r="B5" s="15" t="s">
        <v>967</v>
      </c>
      <c r="C5" s="68"/>
      <c r="AA5" s="53">
        <v>43711</v>
      </c>
      <c r="AB5" s="54">
        <v>0.14000000000000001</v>
      </c>
    </row>
    <row r="6" spans="1:28" x14ac:dyDescent="0.3">
      <c r="A6" s="19" t="s">
        <v>4</v>
      </c>
      <c r="B6" s="15">
        <v>-1.2E-2</v>
      </c>
      <c r="I6" s="30" t="s">
        <v>956</v>
      </c>
      <c r="AA6" s="53">
        <v>43710</v>
      </c>
      <c r="AB6" s="54">
        <v>0.14099999999999999</v>
      </c>
    </row>
    <row r="7" spans="1:28" x14ac:dyDescent="0.3">
      <c r="A7" s="19" t="s">
        <v>1</v>
      </c>
      <c r="B7" s="15" t="s">
        <v>967</v>
      </c>
      <c r="AA7" s="53">
        <v>43707</v>
      </c>
      <c r="AB7" s="54">
        <v>0.14299999999999999</v>
      </c>
    </row>
    <row r="8" spans="1:28" x14ac:dyDescent="0.3">
      <c r="A8" s="24" t="s">
        <v>5</v>
      </c>
      <c r="B8" s="18" t="s">
        <v>1405</v>
      </c>
      <c r="AA8" s="53">
        <v>43706</v>
      </c>
      <c r="AB8" s="54">
        <v>0.13700000000000001</v>
      </c>
    </row>
    <row r="9" spans="1:28" x14ac:dyDescent="0.3">
      <c r="A9" s="33"/>
      <c r="B9" s="34"/>
      <c r="C9" s="33"/>
      <c r="AA9" s="53">
        <v>43705</v>
      </c>
      <c r="AB9" s="54">
        <v>0.14000000000000001</v>
      </c>
    </row>
    <row r="10" spans="1:28" x14ac:dyDescent="0.3">
      <c r="A10" s="69" t="str">
        <f>"This is a copy of "&amp;CompName&amp;"'s financial data."</f>
        <v>This is a copy of Clearbridge Health Limited (1H3.SI)'s financial data.</v>
      </c>
      <c r="B10" s="70"/>
      <c r="C10" s="71"/>
      <c r="D10" s="72"/>
      <c r="Q10" s="33"/>
      <c r="AA10" s="53">
        <v>43704</v>
      </c>
      <c r="AB10" s="54">
        <v>0.14000000000000001</v>
      </c>
    </row>
    <row r="11" spans="1:28" x14ac:dyDescent="0.3">
      <c r="A11" s="33" t="str">
        <f>IF(D13=E13,"This data is corrupt and cannot be trusted.","")</f>
        <v/>
      </c>
      <c r="Q11" s="33"/>
      <c r="AA11" s="53">
        <v>43703</v>
      </c>
      <c r="AB11" s="54">
        <v>0.14000000000000001</v>
      </c>
    </row>
    <row r="12" spans="1:28" x14ac:dyDescent="0.3">
      <c r="AA12" s="53">
        <v>43700</v>
      </c>
      <c r="AB12" s="54">
        <v>0.14299999999999999</v>
      </c>
    </row>
    <row r="13" spans="1:28" x14ac:dyDescent="0.3">
      <c r="A13" s="9" t="s">
        <v>23</v>
      </c>
      <c r="B13" s="10">
        <v>43465</v>
      </c>
      <c r="C13" s="11">
        <v>43100</v>
      </c>
      <c r="D13" s="11">
        <v>42735</v>
      </c>
      <c r="E13" s="12">
        <v>42369</v>
      </c>
      <c r="G13" s="9" t="s">
        <v>24</v>
      </c>
      <c r="H13" s="10">
        <v>43465</v>
      </c>
      <c r="I13" s="10">
        <v>43100</v>
      </c>
      <c r="J13" s="10">
        <v>42735</v>
      </c>
      <c r="K13" s="25">
        <v>42369</v>
      </c>
      <c r="M13" s="9" t="s">
        <v>54</v>
      </c>
      <c r="N13" s="10">
        <v>43465</v>
      </c>
      <c r="O13" s="11">
        <v>43100</v>
      </c>
      <c r="P13" s="11">
        <v>42735</v>
      </c>
      <c r="Q13" s="12">
        <v>42369</v>
      </c>
      <c r="AA13" s="53">
        <v>43699</v>
      </c>
      <c r="AB13" s="54">
        <v>0.14699999999999999</v>
      </c>
    </row>
    <row r="14" spans="1:28" x14ac:dyDescent="0.3">
      <c r="A14" s="13" t="s">
        <v>9</v>
      </c>
      <c r="B14" s="14" t="s">
        <v>1406</v>
      </c>
      <c r="C14" s="14" t="s">
        <v>1407</v>
      </c>
      <c r="D14" s="14" t="s">
        <v>1408</v>
      </c>
      <c r="E14" s="15" t="s">
        <v>1409</v>
      </c>
      <c r="G14" s="13" t="s">
        <v>25</v>
      </c>
      <c r="H14" s="14" t="s">
        <v>1457</v>
      </c>
      <c r="I14" s="14" t="s">
        <v>1458</v>
      </c>
      <c r="J14" s="14" t="s">
        <v>1459</v>
      </c>
      <c r="K14" s="15" t="s">
        <v>1460</v>
      </c>
      <c r="M14" s="13" t="s">
        <v>22</v>
      </c>
      <c r="N14" s="14" t="s">
        <v>1453</v>
      </c>
      <c r="O14" s="14" t="s">
        <v>1454</v>
      </c>
      <c r="P14" s="14" t="s">
        <v>1455</v>
      </c>
      <c r="Q14" s="15" t="s">
        <v>1456</v>
      </c>
      <c r="AA14" s="53">
        <v>43698</v>
      </c>
      <c r="AB14" s="54">
        <v>0.15</v>
      </c>
    </row>
    <row r="15" spans="1:28" x14ac:dyDescent="0.3">
      <c r="A15" s="13" t="s">
        <v>8</v>
      </c>
      <c r="B15" s="14" t="s">
        <v>1410</v>
      </c>
      <c r="C15" s="14" t="s">
        <v>1411</v>
      </c>
      <c r="D15" s="14" t="s">
        <v>970</v>
      </c>
      <c r="E15" s="15" t="s">
        <v>972</v>
      </c>
      <c r="G15" s="13" t="s">
        <v>26</v>
      </c>
      <c r="H15" s="14" t="s">
        <v>1461</v>
      </c>
      <c r="I15" s="14" t="s">
        <v>1462</v>
      </c>
      <c r="J15" s="14" t="s">
        <v>948</v>
      </c>
      <c r="K15" s="15" t="s">
        <v>1463</v>
      </c>
      <c r="M15" s="13" t="s">
        <v>55</v>
      </c>
      <c r="N15" s="14" t="s">
        <v>1536</v>
      </c>
      <c r="O15" s="14" t="s">
        <v>1537</v>
      </c>
      <c r="P15" s="14" t="s">
        <v>1479</v>
      </c>
      <c r="Q15" s="15" t="s">
        <v>1538</v>
      </c>
      <c r="AA15" s="53">
        <v>43697</v>
      </c>
      <c r="AB15" s="54">
        <v>0.14299999999999999</v>
      </c>
    </row>
    <row r="16" spans="1:28" x14ac:dyDescent="0.3">
      <c r="A16" s="16" t="s">
        <v>7</v>
      </c>
      <c r="B16" s="17" t="s">
        <v>1412</v>
      </c>
      <c r="C16" s="17" t="s">
        <v>1413</v>
      </c>
      <c r="D16" s="17" t="s">
        <v>1414</v>
      </c>
      <c r="E16" s="18" t="s">
        <v>1415</v>
      </c>
      <c r="G16" s="13" t="s">
        <v>27</v>
      </c>
      <c r="H16" s="14" t="s">
        <v>1464</v>
      </c>
      <c r="I16" s="14" t="s">
        <v>1465</v>
      </c>
      <c r="J16" s="14" t="s">
        <v>1466</v>
      </c>
      <c r="K16" s="15" t="s">
        <v>1467</v>
      </c>
      <c r="M16" s="13" t="s">
        <v>56</v>
      </c>
      <c r="N16" s="14" t="s">
        <v>1539</v>
      </c>
      <c r="O16" s="14" t="s">
        <v>1540</v>
      </c>
      <c r="P16" s="14" t="s">
        <v>1541</v>
      </c>
      <c r="Q16" s="15" t="s">
        <v>1542</v>
      </c>
      <c r="AA16" s="53">
        <v>43696</v>
      </c>
      <c r="AB16" s="54">
        <v>0.14099999999999999</v>
      </c>
    </row>
    <row r="17" spans="1:17" x14ac:dyDescent="0.3">
      <c r="A17" s="13" t="s">
        <v>10</v>
      </c>
      <c r="B17" s="14" t="s">
        <v>971</v>
      </c>
      <c r="C17" s="14" t="s">
        <v>1416</v>
      </c>
      <c r="D17" s="14" t="s">
        <v>1417</v>
      </c>
      <c r="E17" s="15" t="s">
        <v>1418</v>
      </c>
      <c r="G17" s="19" t="s">
        <v>28</v>
      </c>
      <c r="H17" s="14" t="s">
        <v>1468</v>
      </c>
      <c r="I17" s="14" t="s">
        <v>1469</v>
      </c>
      <c r="J17" s="14" t="s">
        <v>948</v>
      </c>
      <c r="K17" s="15" t="s">
        <v>948</v>
      </c>
      <c r="M17" s="13" t="s">
        <v>57</v>
      </c>
      <c r="N17" s="14" t="s">
        <v>1543</v>
      </c>
      <c r="O17" s="14" t="s">
        <v>1544</v>
      </c>
      <c r="P17" s="14" t="s">
        <v>1545</v>
      </c>
      <c r="Q17" s="15" t="s">
        <v>1546</v>
      </c>
    </row>
    <row r="18" spans="1:17" x14ac:dyDescent="0.3">
      <c r="A18" s="13" t="s">
        <v>11</v>
      </c>
      <c r="B18" s="14" t="s">
        <v>1419</v>
      </c>
      <c r="C18" s="14" t="s">
        <v>1420</v>
      </c>
      <c r="D18" s="14" t="s">
        <v>1421</v>
      </c>
      <c r="E18" s="15" t="s">
        <v>1422</v>
      </c>
      <c r="G18" s="13" t="s">
        <v>29</v>
      </c>
      <c r="H18" s="14" t="s">
        <v>948</v>
      </c>
      <c r="I18" s="14" t="s">
        <v>948</v>
      </c>
      <c r="J18" s="14" t="s">
        <v>948</v>
      </c>
      <c r="K18" s="15" t="s">
        <v>948</v>
      </c>
      <c r="M18" s="13" t="s">
        <v>58</v>
      </c>
      <c r="N18" s="14" t="s">
        <v>1547</v>
      </c>
      <c r="O18" s="14" t="s">
        <v>1548</v>
      </c>
      <c r="P18" s="14" t="s">
        <v>1549</v>
      </c>
      <c r="Q18" s="15" t="s">
        <v>1550</v>
      </c>
    </row>
    <row r="19" spans="1:17" x14ac:dyDescent="0.3">
      <c r="A19" s="13" t="s">
        <v>13</v>
      </c>
      <c r="B19" s="14" t="s">
        <v>948</v>
      </c>
      <c r="C19" s="14" t="s">
        <v>948</v>
      </c>
      <c r="D19" s="14" t="s">
        <v>948</v>
      </c>
      <c r="E19" s="15" t="s">
        <v>948</v>
      </c>
      <c r="G19" s="24" t="s">
        <v>73</v>
      </c>
      <c r="H19" s="17" t="s">
        <v>1470</v>
      </c>
      <c r="I19" s="17" t="s">
        <v>1471</v>
      </c>
      <c r="J19" s="17" t="s">
        <v>1472</v>
      </c>
      <c r="K19" s="18" t="s">
        <v>1473</v>
      </c>
      <c r="M19" s="13" t="s">
        <v>59</v>
      </c>
      <c r="N19" s="14" t="s">
        <v>1551</v>
      </c>
      <c r="O19" s="14" t="s">
        <v>1552</v>
      </c>
      <c r="P19" s="14" t="s">
        <v>1552</v>
      </c>
      <c r="Q19" s="15" t="s">
        <v>1552</v>
      </c>
    </row>
    <row r="20" spans="1:17" x14ac:dyDescent="0.3">
      <c r="A20" s="13" t="s">
        <v>14</v>
      </c>
      <c r="B20" s="14" t="s">
        <v>1423</v>
      </c>
      <c r="C20" s="14" t="s">
        <v>1424</v>
      </c>
      <c r="D20" s="14" t="s">
        <v>1425</v>
      </c>
      <c r="E20" s="15" t="s">
        <v>1426</v>
      </c>
      <c r="G20" s="13" t="s">
        <v>30</v>
      </c>
      <c r="H20" s="14" t="s">
        <v>1474</v>
      </c>
      <c r="I20" s="14" t="s">
        <v>961</v>
      </c>
      <c r="J20" s="14" t="s">
        <v>1475</v>
      </c>
      <c r="K20" s="15" t="s">
        <v>1476</v>
      </c>
      <c r="M20" s="13" t="s">
        <v>60</v>
      </c>
      <c r="N20" s="14" t="s">
        <v>1553</v>
      </c>
      <c r="O20" s="14" t="s">
        <v>957</v>
      </c>
      <c r="P20" s="14" t="s">
        <v>1418</v>
      </c>
      <c r="Q20" s="15" t="s">
        <v>1554</v>
      </c>
    </row>
    <row r="21" spans="1:17" x14ac:dyDescent="0.3">
      <c r="A21" s="13" t="s">
        <v>15</v>
      </c>
      <c r="B21" s="14" t="s">
        <v>1427</v>
      </c>
      <c r="C21" s="14" t="s">
        <v>1428</v>
      </c>
      <c r="D21" s="14" t="s">
        <v>1429</v>
      </c>
      <c r="E21" s="15" t="s">
        <v>1430</v>
      </c>
      <c r="G21" s="13" t="s">
        <v>31</v>
      </c>
      <c r="H21" s="14" t="s">
        <v>1477</v>
      </c>
      <c r="I21" s="14" t="s">
        <v>1478</v>
      </c>
      <c r="J21" s="14" t="s">
        <v>1479</v>
      </c>
      <c r="K21" s="15" t="s">
        <v>1480</v>
      </c>
      <c r="M21" s="27" t="s">
        <v>69</v>
      </c>
      <c r="N21" s="28" t="s">
        <v>1555</v>
      </c>
      <c r="O21" s="28" t="s">
        <v>1556</v>
      </c>
      <c r="P21" s="28" t="s">
        <v>1557</v>
      </c>
      <c r="Q21" s="29" t="s">
        <v>1558</v>
      </c>
    </row>
    <row r="22" spans="1:17" x14ac:dyDescent="0.3">
      <c r="A22" s="16" t="s">
        <v>21</v>
      </c>
      <c r="B22" s="17" t="s">
        <v>1431</v>
      </c>
      <c r="C22" s="17" t="s">
        <v>1432</v>
      </c>
      <c r="D22" s="17" t="s">
        <v>1433</v>
      </c>
      <c r="E22" s="18" t="s">
        <v>1434</v>
      </c>
      <c r="G22" s="13" t="s">
        <v>32</v>
      </c>
      <c r="H22" s="14" t="s">
        <v>1481</v>
      </c>
      <c r="I22" s="14" t="s">
        <v>1482</v>
      </c>
      <c r="J22" s="14" t="s">
        <v>948</v>
      </c>
      <c r="K22" s="15" t="s">
        <v>1483</v>
      </c>
      <c r="M22" s="13" t="s">
        <v>61</v>
      </c>
      <c r="N22" s="14" t="s">
        <v>1559</v>
      </c>
      <c r="O22" s="14" t="s">
        <v>1560</v>
      </c>
      <c r="P22" s="14" t="s">
        <v>1561</v>
      </c>
      <c r="Q22" s="15" t="s">
        <v>976</v>
      </c>
    </row>
    <row r="23" spans="1:17" x14ac:dyDescent="0.3">
      <c r="A23" s="13" t="s">
        <v>16</v>
      </c>
      <c r="B23" s="14" t="s">
        <v>1435</v>
      </c>
      <c r="C23" s="14" t="s">
        <v>1436</v>
      </c>
      <c r="D23" s="14" t="s">
        <v>1437</v>
      </c>
      <c r="E23" s="15" t="s">
        <v>1438</v>
      </c>
      <c r="G23" s="13" t="s">
        <v>33</v>
      </c>
      <c r="H23" s="14" t="s">
        <v>1484</v>
      </c>
      <c r="I23" s="14" t="s">
        <v>962</v>
      </c>
      <c r="J23" s="14" t="s">
        <v>974</v>
      </c>
      <c r="K23" s="15" t="s">
        <v>1409</v>
      </c>
      <c r="M23" s="13" t="s">
        <v>62</v>
      </c>
      <c r="N23" s="14">
        <v>0</v>
      </c>
      <c r="O23" s="14">
        <v>0</v>
      </c>
      <c r="P23" s="14">
        <v>0</v>
      </c>
      <c r="Q23" s="15" t="s">
        <v>1562</v>
      </c>
    </row>
    <row r="24" spans="1:17" x14ac:dyDescent="0.3">
      <c r="A24" s="13" t="s">
        <v>17</v>
      </c>
      <c r="B24" s="14" t="s">
        <v>1431</v>
      </c>
      <c r="C24" s="14" t="s">
        <v>1432</v>
      </c>
      <c r="D24" s="14" t="s">
        <v>1433</v>
      </c>
      <c r="E24" s="15" t="s">
        <v>1434</v>
      </c>
      <c r="G24" s="13" t="s">
        <v>34</v>
      </c>
      <c r="H24" s="14" t="s">
        <v>948</v>
      </c>
      <c r="I24" s="14" t="s">
        <v>948</v>
      </c>
      <c r="J24" s="14" t="s">
        <v>948</v>
      </c>
      <c r="K24" s="15" t="s">
        <v>948</v>
      </c>
      <c r="M24" s="13" t="s">
        <v>63</v>
      </c>
      <c r="N24" s="14">
        <v>0</v>
      </c>
      <c r="O24" s="14" t="s">
        <v>1563</v>
      </c>
      <c r="P24" s="14" t="s">
        <v>1564</v>
      </c>
      <c r="Q24" s="15" t="s">
        <v>1565</v>
      </c>
    </row>
    <row r="25" spans="1:17" x14ac:dyDescent="0.3">
      <c r="A25" s="13" t="s">
        <v>18</v>
      </c>
      <c r="B25" s="14" t="s">
        <v>1439</v>
      </c>
      <c r="C25" s="14" t="s">
        <v>1440</v>
      </c>
      <c r="D25" s="14" t="s">
        <v>1441</v>
      </c>
      <c r="E25" s="15" t="s">
        <v>1442</v>
      </c>
      <c r="G25" s="13" t="s">
        <v>35</v>
      </c>
      <c r="H25" s="14" t="s">
        <v>1485</v>
      </c>
      <c r="I25" s="14" t="s">
        <v>1486</v>
      </c>
      <c r="J25" s="14" t="s">
        <v>1487</v>
      </c>
      <c r="K25" s="15" t="s">
        <v>1488</v>
      </c>
      <c r="M25" s="27" t="s">
        <v>70</v>
      </c>
      <c r="N25" s="28" t="s">
        <v>1566</v>
      </c>
      <c r="O25" s="28" t="s">
        <v>1567</v>
      </c>
      <c r="P25" s="28" t="s">
        <v>1568</v>
      </c>
      <c r="Q25" s="29" t="s">
        <v>1569</v>
      </c>
    </row>
    <row r="26" spans="1:17" x14ac:dyDescent="0.3">
      <c r="A26" s="13" t="s">
        <v>19</v>
      </c>
      <c r="B26" s="14" t="s">
        <v>1443</v>
      </c>
      <c r="C26" s="14" t="s">
        <v>1444</v>
      </c>
      <c r="D26" s="14" t="s">
        <v>1445</v>
      </c>
      <c r="E26" s="15" t="s">
        <v>1446</v>
      </c>
      <c r="G26" s="13" t="s">
        <v>36</v>
      </c>
      <c r="H26" s="14" t="s">
        <v>948</v>
      </c>
      <c r="I26" s="14" t="s">
        <v>948</v>
      </c>
      <c r="J26" s="14" t="s">
        <v>948</v>
      </c>
      <c r="K26" s="15" t="s">
        <v>948</v>
      </c>
      <c r="M26" s="13" t="s">
        <v>64</v>
      </c>
      <c r="N26" s="14">
        <v>0</v>
      </c>
      <c r="O26" s="14">
        <v>0</v>
      </c>
      <c r="P26" s="14">
        <v>0</v>
      </c>
      <c r="Q26" s="15">
        <v>0</v>
      </c>
    </row>
    <row r="27" spans="1:17" ht="15" thickBot="1" x14ac:dyDescent="0.35">
      <c r="A27" s="13" t="s">
        <v>20</v>
      </c>
      <c r="B27" s="14" t="s">
        <v>1447</v>
      </c>
      <c r="C27" s="14" t="s">
        <v>1448</v>
      </c>
      <c r="D27" s="14" t="s">
        <v>958</v>
      </c>
      <c r="E27" s="15" t="s">
        <v>1449</v>
      </c>
      <c r="G27" s="26" t="s">
        <v>74</v>
      </c>
      <c r="H27" s="21" t="s">
        <v>1489</v>
      </c>
      <c r="I27" s="21" t="s">
        <v>1490</v>
      </c>
      <c r="J27" s="21" t="s">
        <v>1491</v>
      </c>
      <c r="K27" s="22" t="s">
        <v>1492</v>
      </c>
      <c r="M27" s="13" t="s">
        <v>65</v>
      </c>
      <c r="N27" s="14">
        <v>0</v>
      </c>
      <c r="O27" s="14">
        <v>0</v>
      </c>
      <c r="P27" s="14">
        <v>0</v>
      </c>
      <c r="Q27" s="15">
        <v>0</v>
      </c>
    </row>
    <row r="28" spans="1:17" x14ac:dyDescent="0.3">
      <c r="A28" s="19" t="s">
        <v>78</v>
      </c>
      <c r="B28" s="14" t="s">
        <v>969</v>
      </c>
      <c r="C28" s="14" t="s">
        <v>1450</v>
      </c>
      <c r="D28" s="14" t="s">
        <v>1451</v>
      </c>
      <c r="E28" s="15" t="s">
        <v>1452</v>
      </c>
      <c r="G28" s="13"/>
      <c r="H28" s="14"/>
      <c r="I28" s="14"/>
      <c r="J28" s="14"/>
      <c r="K28" s="15"/>
      <c r="M28" s="13" t="s">
        <v>66</v>
      </c>
      <c r="N28" s="14" t="s">
        <v>1570</v>
      </c>
      <c r="O28" s="14" t="s">
        <v>1571</v>
      </c>
      <c r="P28" s="14" t="s">
        <v>1572</v>
      </c>
      <c r="Q28" s="15" t="s">
        <v>1573</v>
      </c>
    </row>
    <row r="29" spans="1:17" ht="15" thickBot="1" x14ac:dyDescent="0.35">
      <c r="A29" s="20" t="s">
        <v>22</v>
      </c>
      <c r="B29" s="21" t="s">
        <v>1453</v>
      </c>
      <c r="C29" s="21" t="s">
        <v>1454</v>
      </c>
      <c r="D29" s="21" t="s">
        <v>1455</v>
      </c>
      <c r="E29" s="22" t="s">
        <v>1456</v>
      </c>
      <c r="G29" s="13" t="s">
        <v>37</v>
      </c>
      <c r="H29" s="14" t="s">
        <v>1493</v>
      </c>
      <c r="I29" s="14" t="s">
        <v>1494</v>
      </c>
      <c r="J29" s="14" t="s">
        <v>1495</v>
      </c>
      <c r="K29" s="15" t="s">
        <v>1496</v>
      </c>
      <c r="M29" s="13" t="s">
        <v>67</v>
      </c>
      <c r="N29" s="14" t="s">
        <v>1574</v>
      </c>
      <c r="O29" s="14" t="s">
        <v>1575</v>
      </c>
      <c r="P29" s="14" t="s">
        <v>1576</v>
      </c>
      <c r="Q29" s="15" t="s">
        <v>1577</v>
      </c>
    </row>
    <row r="30" spans="1:17" x14ac:dyDescent="0.3">
      <c r="G30" s="13" t="s">
        <v>38</v>
      </c>
      <c r="H30" s="14" t="s">
        <v>1497</v>
      </c>
      <c r="I30" s="14" t="s">
        <v>975</v>
      </c>
      <c r="J30" s="14" t="s">
        <v>948</v>
      </c>
      <c r="K30" s="15" t="s">
        <v>948</v>
      </c>
      <c r="M30" s="27" t="s">
        <v>71</v>
      </c>
      <c r="N30" s="28" t="s">
        <v>1578</v>
      </c>
      <c r="O30" s="28" t="s">
        <v>1579</v>
      </c>
      <c r="P30" s="28" t="s">
        <v>1580</v>
      </c>
      <c r="Q30" s="29" t="s">
        <v>1581</v>
      </c>
    </row>
    <row r="31" spans="1:17" x14ac:dyDescent="0.3">
      <c r="G31" s="13" t="s">
        <v>39</v>
      </c>
      <c r="H31" s="14" t="s">
        <v>1498</v>
      </c>
      <c r="I31" s="14" t="s">
        <v>1499</v>
      </c>
      <c r="J31" s="14" t="s">
        <v>1500</v>
      </c>
      <c r="K31" s="15" t="s">
        <v>1501</v>
      </c>
      <c r="M31" s="13" t="s">
        <v>68</v>
      </c>
      <c r="N31" s="14" t="s">
        <v>1582</v>
      </c>
      <c r="O31" s="14" t="s">
        <v>1583</v>
      </c>
      <c r="P31" s="14" t="s">
        <v>1584</v>
      </c>
      <c r="Q31" s="15" t="s">
        <v>968</v>
      </c>
    </row>
    <row r="32" spans="1:17" x14ac:dyDescent="0.3">
      <c r="G32" s="24" t="s">
        <v>75</v>
      </c>
      <c r="H32" s="17" t="s">
        <v>1502</v>
      </c>
      <c r="I32" s="17" t="s">
        <v>1503</v>
      </c>
      <c r="J32" s="17" t="s">
        <v>1504</v>
      </c>
      <c r="K32" s="18" t="s">
        <v>1505</v>
      </c>
      <c r="M32" s="16" t="s">
        <v>72</v>
      </c>
      <c r="N32" s="17" t="s">
        <v>1585</v>
      </c>
      <c r="O32" s="17" t="s">
        <v>1586</v>
      </c>
      <c r="P32" s="17" t="s">
        <v>1587</v>
      </c>
      <c r="Q32" s="18" t="s">
        <v>1588</v>
      </c>
    </row>
    <row r="33" spans="7:12" x14ac:dyDescent="0.3">
      <c r="G33" s="13" t="s">
        <v>40</v>
      </c>
      <c r="H33" s="14" t="s">
        <v>1506</v>
      </c>
      <c r="I33" s="14" t="s">
        <v>1507</v>
      </c>
      <c r="J33" s="14" t="s">
        <v>948</v>
      </c>
      <c r="K33" s="15" t="s">
        <v>1508</v>
      </c>
    </row>
    <row r="34" spans="7:12" x14ac:dyDescent="0.3">
      <c r="G34" s="13" t="s">
        <v>41</v>
      </c>
      <c r="H34" s="14" t="s">
        <v>1509</v>
      </c>
      <c r="I34" s="14" t="s">
        <v>1510</v>
      </c>
      <c r="J34" s="14" t="s">
        <v>1511</v>
      </c>
      <c r="K34" s="15" t="s">
        <v>1512</v>
      </c>
    </row>
    <row r="35" spans="7:12" x14ac:dyDescent="0.3">
      <c r="G35" s="13" t="s">
        <v>42</v>
      </c>
      <c r="H35" s="14" t="s">
        <v>948</v>
      </c>
      <c r="I35" s="14" t="s">
        <v>948</v>
      </c>
      <c r="J35" s="14" t="s">
        <v>948</v>
      </c>
      <c r="K35" s="15" t="s">
        <v>1513</v>
      </c>
    </row>
    <row r="36" spans="7:12" x14ac:dyDescent="0.3">
      <c r="G36" s="13" t="s">
        <v>43</v>
      </c>
      <c r="H36" s="14" t="s">
        <v>969</v>
      </c>
      <c r="I36" s="14" t="s">
        <v>1450</v>
      </c>
      <c r="J36" s="14" t="s">
        <v>1451</v>
      </c>
      <c r="K36" s="15" t="s">
        <v>1452</v>
      </c>
    </row>
    <row r="37" spans="7:12" x14ac:dyDescent="0.3">
      <c r="G37" s="13" t="s">
        <v>44</v>
      </c>
      <c r="H37" s="14" t="s">
        <v>948</v>
      </c>
      <c r="I37" s="14" t="s">
        <v>948</v>
      </c>
      <c r="J37" s="14" t="s">
        <v>948</v>
      </c>
      <c r="K37" s="15" t="s">
        <v>948</v>
      </c>
    </row>
    <row r="38" spans="7:12" ht="15" thickBot="1" x14ac:dyDescent="0.35">
      <c r="G38" s="26" t="s">
        <v>76</v>
      </c>
      <c r="H38" s="21" t="s">
        <v>1514</v>
      </c>
      <c r="I38" s="21" t="s">
        <v>1515</v>
      </c>
      <c r="J38" s="21" t="s">
        <v>1516</v>
      </c>
      <c r="K38" s="22" t="s">
        <v>1517</v>
      </c>
    </row>
    <row r="39" spans="7:12" x14ac:dyDescent="0.3">
      <c r="G39" s="13" t="s">
        <v>45</v>
      </c>
      <c r="H39" s="14" t="s">
        <v>948</v>
      </c>
      <c r="I39" s="14" t="s">
        <v>948</v>
      </c>
      <c r="J39" s="14" t="s">
        <v>948</v>
      </c>
      <c r="K39" s="15" t="s">
        <v>948</v>
      </c>
      <c r="L39" s="32"/>
    </row>
    <row r="40" spans="7:12" x14ac:dyDescent="0.3">
      <c r="G40" s="13" t="s">
        <v>46</v>
      </c>
      <c r="H40" s="14" t="s">
        <v>948</v>
      </c>
      <c r="I40" s="14" t="s">
        <v>948</v>
      </c>
      <c r="J40" s="14" t="s">
        <v>948</v>
      </c>
      <c r="K40" s="15" t="s">
        <v>948</v>
      </c>
    </row>
    <row r="41" spans="7:12" x14ac:dyDescent="0.3">
      <c r="G41" s="13" t="s">
        <v>47</v>
      </c>
      <c r="H41" s="14" t="s">
        <v>948</v>
      </c>
      <c r="I41" s="14" t="s">
        <v>948</v>
      </c>
      <c r="J41" s="14" t="s">
        <v>948</v>
      </c>
      <c r="K41" s="15" t="s">
        <v>948</v>
      </c>
    </row>
    <row r="42" spans="7:12" x14ac:dyDescent="0.3">
      <c r="G42" s="13" t="s">
        <v>48</v>
      </c>
      <c r="H42" s="14" t="s">
        <v>1518</v>
      </c>
      <c r="I42" s="14" t="s">
        <v>1519</v>
      </c>
      <c r="J42" s="14" t="s">
        <v>1520</v>
      </c>
      <c r="K42" s="15" t="s">
        <v>1520</v>
      </c>
      <c r="L42" s="32"/>
    </row>
    <row r="43" spans="7:12" x14ac:dyDescent="0.3">
      <c r="G43" s="13" t="s">
        <v>49</v>
      </c>
      <c r="H43" s="14" t="s">
        <v>1521</v>
      </c>
      <c r="I43" s="14" t="s">
        <v>1522</v>
      </c>
      <c r="J43" s="14" t="s">
        <v>1523</v>
      </c>
      <c r="K43" s="15" t="s">
        <v>1524</v>
      </c>
    </row>
    <row r="44" spans="7:12" x14ac:dyDescent="0.3">
      <c r="G44" s="13" t="s">
        <v>50</v>
      </c>
      <c r="H44" s="14" t="s">
        <v>1413</v>
      </c>
      <c r="I44" s="14" t="s">
        <v>1525</v>
      </c>
      <c r="J44" s="14" t="s">
        <v>1526</v>
      </c>
      <c r="K44" s="15" t="s">
        <v>1527</v>
      </c>
    </row>
    <row r="45" spans="7:12" x14ac:dyDescent="0.3">
      <c r="G45" s="13" t="s">
        <v>51</v>
      </c>
      <c r="H45" s="14" t="s">
        <v>948</v>
      </c>
      <c r="I45" s="14" t="s">
        <v>948</v>
      </c>
      <c r="J45" s="14" t="s">
        <v>948</v>
      </c>
      <c r="K45" s="15" t="s">
        <v>948</v>
      </c>
    </row>
    <row r="46" spans="7:12" x14ac:dyDescent="0.3">
      <c r="G46" s="13" t="s">
        <v>52</v>
      </c>
      <c r="H46" s="14" t="s">
        <v>1413</v>
      </c>
      <c r="I46" s="14" t="s">
        <v>1525</v>
      </c>
      <c r="J46" s="14" t="s">
        <v>1526</v>
      </c>
      <c r="K46" s="15" t="s">
        <v>1527</v>
      </c>
    </row>
    <row r="47" spans="7:12" ht="15" thickBot="1" x14ac:dyDescent="0.35">
      <c r="G47" s="26" t="s">
        <v>53</v>
      </c>
      <c r="H47" s="21" t="s">
        <v>1528</v>
      </c>
      <c r="I47" s="21" t="s">
        <v>1529</v>
      </c>
      <c r="J47" s="21" t="s">
        <v>1530</v>
      </c>
      <c r="K47" s="22" t="s">
        <v>1531</v>
      </c>
    </row>
    <row r="48" spans="7:12" x14ac:dyDescent="0.3">
      <c r="G48" s="16" t="s">
        <v>77</v>
      </c>
      <c r="H48" s="17" t="s">
        <v>1532</v>
      </c>
      <c r="I48" s="17" t="s">
        <v>1533</v>
      </c>
      <c r="J48" s="17" t="s">
        <v>1534</v>
      </c>
      <c r="K48" s="18" t="s">
        <v>1535</v>
      </c>
    </row>
  </sheetData>
  <sheetProtection password="CE28" sheet="1" objects="1" scenarios="1"/>
  <conditionalFormatting sqref="A22 A16 A13:E15 A17:E21 G13:K48 M13:Q32 A23:E29">
    <cfRule type="expression" dxfId="57" priority="11">
      <formula>MOD(ROW(),2)=1</formula>
    </cfRule>
  </conditionalFormatting>
  <conditionalFormatting sqref="B22">
    <cfRule type="expression" dxfId="56" priority="10">
      <formula>MOD(ROW(),2)=1</formula>
    </cfRule>
  </conditionalFormatting>
  <conditionalFormatting sqref="B16">
    <cfRule type="expression" dxfId="55" priority="9">
      <formula>MOD(ROW(),2)=1</formula>
    </cfRule>
  </conditionalFormatting>
  <conditionalFormatting sqref="C16">
    <cfRule type="expression" dxfId="54" priority="8">
      <formula>MOD(ROW(),2)=1</formula>
    </cfRule>
  </conditionalFormatting>
  <conditionalFormatting sqref="D16">
    <cfRule type="expression" dxfId="53" priority="7">
      <formula>MOD(ROW(),2)=1</formula>
    </cfRule>
  </conditionalFormatting>
  <conditionalFormatting sqref="E16">
    <cfRule type="expression" dxfId="52" priority="6">
      <formula>MOD(ROW(),2)=1</formula>
    </cfRule>
  </conditionalFormatting>
  <conditionalFormatting sqref="C22">
    <cfRule type="expression" dxfId="51" priority="5">
      <formula>MOD(ROW(),2)=1</formula>
    </cfRule>
  </conditionalFormatting>
  <conditionalFormatting sqref="D22">
    <cfRule type="expression" dxfId="50" priority="4">
      <formula>MOD(ROW(),2)=1</formula>
    </cfRule>
  </conditionalFormatting>
  <conditionalFormatting sqref="E22">
    <cfRule type="expression" dxfId="49" priority="3">
      <formula>MOD(ROW(),2)=1</formula>
    </cfRule>
  </conditionalFormatting>
  <conditionalFormatting sqref="A1:B8">
    <cfRule type="expression" dxfId="48" priority="2">
      <formula>MOD(ROW(),2)=1</formula>
    </cfRule>
  </conditionalFormatting>
  <conditionalFormatting sqref="A11">
    <cfRule type="containsText" dxfId="47" priority="1" operator="containsText" text="This data is corrupt and cannot be trusted">
      <formula>NOT(ISERROR(SEARCH("This data is corrupt and cannot be trusted",A11)))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DeleteSheet">
                <anchor moveWithCells="1">
                  <from>
                    <xdr:col>2</xdr:col>
                    <xdr:colOff>53340</xdr:colOff>
                    <xdr:row>2</xdr:row>
                    <xdr:rowOff>53340</xdr:rowOff>
                  </from>
                  <to>
                    <xdr:col>2</xdr:col>
                    <xdr:colOff>693420</xdr:colOff>
                    <xdr:row>4</xdr:row>
                    <xdr:rowOff>137160</xdr:rowOff>
                  </to>
                </anchor>
              </controlPr>
            </control>
          </mc:Choice>
        </mc:AlternateContent>
        <mc:AlternateContent xmlns:mc="http://schemas.openxmlformats.org/markup-compatibility/2006">
          <mc:Choice Requires="x14">
            <control shapeId="270338" r:id="rId5" name="Button 2">
              <controlPr defaultSize="0" print="0" autoFill="0" autoPict="0" macro="[0]!General.BusinessInfo">
                <anchor moveWithCells="1">
                  <from>
                    <xdr:col>2</xdr:col>
                    <xdr:colOff>91440</xdr:colOff>
                    <xdr:row>0</xdr:row>
                    <xdr:rowOff>68580</xdr:rowOff>
                  </from>
                  <to>
                    <xdr:col>3</xdr:col>
                    <xdr:colOff>678180</xdr:colOff>
                    <xdr:row>1</xdr:row>
                    <xdr:rowOff>99060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621E6-2A75-4F88-8B89-5C5B16DDE9A1}">
  <sheetPr codeName="Sheet14">
    <tabColor rgb="FFF5101D"/>
  </sheetPr>
  <dimension ref="A1:AB48"/>
  <sheetViews>
    <sheetView showGridLines="0" zoomScale="99" workbookViewId="0"/>
  </sheetViews>
  <sheetFormatPr defaultRowHeight="14.4" x14ac:dyDescent="0.3"/>
  <cols>
    <col min="1" max="1" width="34.77734375" style="30" customWidth="1"/>
    <col min="2" max="2" width="17.5546875" style="31" customWidth="1"/>
    <col min="3" max="5" width="10.88671875" style="30" bestFit="1" customWidth="1"/>
    <col min="6" max="6" width="8.88671875" style="30"/>
    <col min="7" max="7" width="31.33203125" style="30" bestFit="1" customWidth="1"/>
    <col min="8" max="8" width="16.6640625" style="30" bestFit="1" customWidth="1"/>
    <col min="9" max="11" width="12.33203125" style="30" bestFit="1" customWidth="1"/>
    <col min="12" max="12" width="9.88671875" style="30" bestFit="1" customWidth="1"/>
    <col min="13" max="13" width="36.6640625" style="30" bestFit="1" customWidth="1"/>
    <col min="14" max="16" width="12.21875" style="30" customWidth="1"/>
    <col min="17" max="17" width="12.109375" style="30" customWidth="1"/>
    <col min="18" max="26" width="8.88671875" style="30"/>
    <col min="27" max="27" width="10" style="55" bestFit="1" customWidth="1"/>
    <col min="28" max="28" width="8.88671875" style="55"/>
    <col min="29" max="16384" width="8.88671875" style="30"/>
  </cols>
  <sheetData>
    <row r="1" spans="1:28" x14ac:dyDescent="0.3">
      <c r="A1" s="8" t="s">
        <v>1193</v>
      </c>
      <c r="B1" s="7"/>
      <c r="C1" s="35" t="s">
        <v>1192</v>
      </c>
      <c r="D1" s="36" t="s">
        <v>80</v>
      </c>
      <c r="AA1" s="52" t="s">
        <v>946</v>
      </c>
      <c r="AB1" s="52" t="s">
        <v>947</v>
      </c>
    </row>
    <row r="2" spans="1:28" x14ac:dyDescent="0.3">
      <c r="A2" s="19" t="s">
        <v>6</v>
      </c>
      <c r="B2" s="14" t="s">
        <v>1194</v>
      </c>
      <c r="C2" s="37"/>
      <c r="D2" s="38"/>
      <c r="AA2" s="53">
        <v>43713</v>
      </c>
      <c r="AB2" s="54">
        <v>1821.95</v>
      </c>
    </row>
    <row r="3" spans="1:28" x14ac:dyDescent="0.3">
      <c r="A3" s="19" t="s">
        <v>0</v>
      </c>
      <c r="B3" s="23">
        <v>1840.72</v>
      </c>
      <c r="C3" s="66"/>
      <c r="AA3" s="53">
        <v>43712</v>
      </c>
      <c r="AB3" s="54">
        <v>1805</v>
      </c>
    </row>
    <row r="4" spans="1:28" x14ac:dyDescent="0.3">
      <c r="A4" s="19" t="s">
        <v>2</v>
      </c>
      <c r="B4" s="15" t="s">
        <v>1195</v>
      </c>
      <c r="C4" s="67"/>
      <c r="AA4" s="53">
        <v>43711</v>
      </c>
      <c r="AB4" s="54">
        <v>1770</v>
      </c>
    </row>
    <row r="5" spans="1:28" x14ac:dyDescent="0.3">
      <c r="A5" s="19" t="s">
        <v>3</v>
      </c>
      <c r="B5" s="15">
        <v>76.37</v>
      </c>
      <c r="C5" s="68"/>
      <c r="AA5" s="53">
        <v>43707</v>
      </c>
      <c r="AB5" s="54">
        <v>1797.49</v>
      </c>
    </row>
    <row r="6" spans="1:28" x14ac:dyDescent="0.3">
      <c r="A6" s="19" t="s">
        <v>4</v>
      </c>
      <c r="B6" s="15">
        <v>24.1</v>
      </c>
      <c r="I6" s="30" t="s">
        <v>956</v>
      </c>
      <c r="AA6" s="53">
        <v>43706</v>
      </c>
      <c r="AB6" s="54">
        <v>1783</v>
      </c>
    </row>
    <row r="7" spans="1:28" x14ac:dyDescent="0.3">
      <c r="A7" s="19" t="s">
        <v>1</v>
      </c>
      <c r="B7" s="15">
        <v>1.62</v>
      </c>
      <c r="AA7" s="53">
        <v>43705</v>
      </c>
      <c r="AB7" s="54">
        <v>1755</v>
      </c>
    </row>
    <row r="8" spans="1:28" x14ac:dyDescent="0.3">
      <c r="A8" s="24" t="s">
        <v>5</v>
      </c>
      <c r="B8" s="18" t="s">
        <v>1196</v>
      </c>
      <c r="AA8" s="53">
        <v>43704</v>
      </c>
      <c r="AB8" s="54">
        <v>1775.73</v>
      </c>
    </row>
    <row r="9" spans="1:28" x14ac:dyDescent="0.3">
      <c r="A9" s="33"/>
      <c r="B9" s="34"/>
      <c r="C9" s="33"/>
      <c r="AA9" s="53">
        <v>43703</v>
      </c>
      <c r="AB9" s="54">
        <v>1766.91</v>
      </c>
    </row>
    <row r="10" spans="1:28" x14ac:dyDescent="0.3">
      <c r="A10" s="69" t="str">
        <f>"This is a copy of "&amp;CompName&amp;"'s financial data."</f>
        <v>This is a copy of Amazon.com, Inc. (AMZN)'s financial data.</v>
      </c>
      <c r="B10" s="70"/>
      <c r="C10" s="71"/>
      <c r="D10" s="72"/>
      <c r="Q10" s="33"/>
      <c r="AA10" s="53">
        <v>43700</v>
      </c>
      <c r="AB10" s="54">
        <v>1793.03</v>
      </c>
    </row>
    <row r="11" spans="1:28" x14ac:dyDescent="0.3">
      <c r="A11" s="33" t="str">
        <f>IF(D13=E13,"This data is corrupt and cannot be trusted.","")</f>
        <v/>
      </c>
      <c r="Q11" s="33"/>
      <c r="AA11" s="53">
        <v>43699</v>
      </c>
      <c r="AB11" s="54">
        <v>1828</v>
      </c>
    </row>
    <row r="12" spans="1:28" x14ac:dyDescent="0.3">
      <c r="AA12" s="53">
        <v>43698</v>
      </c>
      <c r="AB12" s="54">
        <v>1819.39</v>
      </c>
    </row>
    <row r="13" spans="1:28" x14ac:dyDescent="0.3">
      <c r="A13" s="9" t="s">
        <v>23</v>
      </c>
      <c r="B13" s="10">
        <v>43465</v>
      </c>
      <c r="C13" s="11">
        <v>43100</v>
      </c>
      <c r="D13" s="11">
        <v>42735</v>
      </c>
      <c r="E13" s="12">
        <v>42369</v>
      </c>
      <c r="G13" s="9" t="s">
        <v>24</v>
      </c>
      <c r="H13" s="10">
        <v>43465</v>
      </c>
      <c r="I13" s="10">
        <v>43100</v>
      </c>
      <c r="J13" s="10">
        <v>42735</v>
      </c>
      <c r="K13" s="25">
        <v>42369</v>
      </c>
      <c r="M13" s="9" t="s">
        <v>54</v>
      </c>
      <c r="N13" s="10">
        <v>43465</v>
      </c>
      <c r="O13" s="11">
        <v>43100</v>
      </c>
      <c r="P13" s="11">
        <v>42735</v>
      </c>
      <c r="Q13" s="12">
        <v>42369</v>
      </c>
      <c r="AA13" s="53">
        <v>43697</v>
      </c>
      <c r="AB13" s="54">
        <v>1814.5</v>
      </c>
    </row>
    <row r="14" spans="1:28" x14ac:dyDescent="0.3">
      <c r="A14" s="13" t="s">
        <v>9</v>
      </c>
      <c r="B14" s="14" t="s">
        <v>1197</v>
      </c>
      <c r="C14" s="14" t="s">
        <v>1198</v>
      </c>
      <c r="D14" s="14" t="s">
        <v>1199</v>
      </c>
      <c r="E14" s="15" t="s">
        <v>1200</v>
      </c>
      <c r="G14" s="13" t="s">
        <v>25</v>
      </c>
      <c r="H14" s="14" t="s">
        <v>1249</v>
      </c>
      <c r="I14" s="14" t="s">
        <v>1250</v>
      </c>
      <c r="J14" s="14" t="s">
        <v>1251</v>
      </c>
      <c r="K14" s="15" t="s">
        <v>1252</v>
      </c>
      <c r="M14" s="13" t="s">
        <v>22</v>
      </c>
      <c r="N14" s="14" t="s">
        <v>1245</v>
      </c>
      <c r="O14" s="14" t="s">
        <v>1246</v>
      </c>
      <c r="P14" s="14" t="s">
        <v>1247</v>
      </c>
      <c r="Q14" s="15" t="s">
        <v>1248</v>
      </c>
      <c r="AA14" s="53">
        <v>43696</v>
      </c>
      <c r="AB14" s="54">
        <v>1818.08</v>
      </c>
    </row>
    <row r="15" spans="1:28" x14ac:dyDescent="0.3">
      <c r="A15" s="13" t="s">
        <v>8</v>
      </c>
      <c r="B15" s="14" t="s">
        <v>1201</v>
      </c>
      <c r="C15" s="14" t="s">
        <v>1202</v>
      </c>
      <c r="D15" s="14" t="s">
        <v>1203</v>
      </c>
      <c r="E15" s="15" t="s">
        <v>1204</v>
      </c>
      <c r="G15" s="13" t="s">
        <v>26</v>
      </c>
      <c r="H15" s="14" t="s">
        <v>1253</v>
      </c>
      <c r="I15" s="14" t="s">
        <v>1254</v>
      </c>
      <c r="J15" s="14" t="s">
        <v>1255</v>
      </c>
      <c r="K15" s="15" t="s">
        <v>1256</v>
      </c>
      <c r="M15" s="13" t="s">
        <v>55</v>
      </c>
      <c r="N15" s="14" t="s">
        <v>1347</v>
      </c>
      <c r="O15" s="14" t="s">
        <v>1348</v>
      </c>
      <c r="P15" s="14" t="s">
        <v>1349</v>
      </c>
      <c r="Q15" s="15" t="s">
        <v>1350</v>
      </c>
      <c r="AA15" s="53">
        <v>43693</v>
      </c>
      <c r="AB15" s="54">
        <v>1792.89</v>
      </c>
    </row>
    <row r="16" spans="1:28" x14ac:dyDescent="0.3">
      <c r="A16" s="16" t="s">
        <v>7</v>
      </c>
      <c r="B16" s="17" t="s">
        <v>1205</v>
      </c>
      <c r="C16" s="17" t="s">
        <v>1206</v>
      </c>
      <c r="D16" s="17" t="s">
        <v>1207</v>
      </c>
      <c r="E16" s="18" t="s">
        <v>1208</v>
      </c>
      <c r="G16" s="13" t="s">
        <v>27</v>
      </c>
      <c r="H16" s="14" t="s">
        <v>1257</v>
      </c>
      <c r="I16" s="14" t="s">
        <v>1258</v>
      </c>
      <c r="J16" s="14" t="s">
        <v>1259</v>
      </c>
      <c r="K16" s="15" t="s">
        <v>1260</v>
      </c>
      <c r="M16" s="13" t="s">
        <v>56</v>
      </c>
      <c r="N16" s="14" t="s">
        <v>1351</v>
      </c>
      <c r="O16" s="14" t="s">
        <v>1352</v>
      </c>
      <c r="P16" s="14" t="s">
        <v>1353</v>
      </c>
      <c r="Q16" s="15" t="s">
        <v>1354</v>
      </c>
      <c r="AA16" s="53">
        <v>43692</v>
      </c>
      <c r="AB16" s="54">
        <v>1781.99</v>
      </c>
    </row>
    <row r="17" spans="1:17" x14ac:dyDescent="0.3">
      <c r="A17" s="13" t="s">
        <v>10</v>
      </c>
      <c r="B17" s="14" t="s">
        <v>1209</v>
      </c>
      <c r="C17" s="14" t="s">
        <v>1210</v>
      </c>
      <c r="D17" s="14" t="s">
        <v>1211</v>
      </c>
      <c r="E17" s="15" t="s">
        <v>1212</v>
      </c>
      <c r="G17" s="19" t="s">
        <v>28</v>
      </c>
      <c r="H17" s="14" t="s">
        <v>1261</v>
      </c>
      <c r="I17" s="14" t="s">
        <v>1262</v>
      </c>
      <c r="J17" s="14" t="s">
        <v>1263</v>
      </c>
      <c r="K17" s="15" t="s">
        <v>1264</v>
      </c>
      <c r="M17" s="13" t="s">
        <v>57</v>
      </c>
      <c r="N17" s="14" t="s">
        <v>1355</v>
      </c>
      <c r="O17" s="14" t="s">
        <v>1356</v>
      </c>
      <c r="P17" s="14" t="s">
        <v>1357</v>
      </c>
      <c r="Q17" s="15" t="s">
        <v>1358</v>
      </c>
    </row>
    <row r="18" spans="1:17" x14ac:dyDescent="0.3">
      <c r="A18" s="13" t="s">
        <v>11</v>
      </c>
      <c r="B18" s="14" t="s">
        <v>1213</v>
      </c>
      <c r="C18" s="14" t="s">
        <v>1214</v>
      </c>
      <c r="D18" s="14" t="s">
        <v>1215</v>
      </c>
      <c r="E18" s="15" t="s">
        <v>1216</v>
      </c>
      <c r="G18" s="13" t="s">
        <v>29</v>
      </c>
      <c r="H18" s="14" t="s">
        <v>1265</v>
      </c>
      <c r="I18" s="14" t="s">
        <v>1266</v>
      </c>
      <c r="J18" s="14" t="s">
        <v>948</v>
      </c>
      <c r="K18" s="15" t="s">
        <v>948</v>
      </c>
      <c r="M18" s="13" t="s">
        <v>58</v>
      </c>
      <c r="N18" s="14" t="s">
        <v>1359</v>
      </c>
      <c r="O18" s="14" t="s">
        <v>1360</v>
      </c>
      <c r="P18" s="14" t="s">
        <v>1361</v>
      </c>
      <c r="Q18" s="15" t="s">
        <v>1362</v>
      </c>
    </row>
    <row r="19" spans="1:17" x14ac:dyDescent="0.3">
      <c r="A19" s="13" t="s">
        <v>13</v>
      </c>
      <c r="B19" s="14" t="s">
        <v>948</v>
      </c>
      <c r="C19" s="14" t="s">
        <v>948</v>
      </c>
      <c r="D19" s="14" t="s">
        <v>948</v>
      </c>
      <c r="E19" s="15" t="s">
        <v>948</v>
      </c>
      <c r="G19" s="24" t="s">
        <v>73</v>
      </c>
      <c r="H19" s="17" t="s">
        <v>1267</v>
      </c>
      <c r="I19" s="17" t="s">
        <v>1268</v>
      </c>
      <c r="J19" s="17" t="s">
        <v>1269</v>
      </c>
      <c r="K19" s="18" t="s">
        <v>1270</v>
      </c>
      <c r="M19" s="13" t="s">
        <v>59</v>
      </c>
      <c r="N19" s="14" t="s">
        <v>1363</v>
      </c>
      <c r="O19" s="14" t="s">
        <v>1364</v>
      </c>
      <c r="P19" s="14" t="s">
        <v>1365</v>
      </c>
      <c r="Q19" s="15" t="s">
        <v>1366</v>
      </c>
    </row>
    <row r="20" spans="1:17" x14ac:dyDescent="0.3">
      <c r="A20" s="13" t="s">
        <v>14</v>
      </c>
      <c r="B20" s="14" t="s">
        <v>1217</v>
      </c>
      <c r="C20" s="14" t="s">
        <v>1218</v>
      </c>
      <c r="D20" s="14" t="s">
        <v>1219</v>
      </c>
      <c r="E20" s="15" t="s">
        <v>1220</v>
      </c>
      <c r="G20" s="13" t="s">
        <v>30</v>
      </c>
      <c r="H20" s="14" t="s">
        <v>1271</v>
      </c>
      <c r="I20" s="14" t="s">
        <v>1272</v>
      </c>
      <c r="J20" s="14" t="s">
        <v>1273</v>
      </c>
      <c r="K20" s="15" t="s">
        <v>1274</v>
      </c>
      <c r="M20" s="13" t="s">
        <v>60</v>
      </c>
      <c r="N20" s="14" t="s">
        <v>1367</v>
      </c>
      <c r="O20" s="14" t="s">
        <v>1368</v>
      </c>
      <c r="P20" s="14" t="s">
        <v>1369</v>
      </c>
      <c r="Q20" s="15" t="s">
        <v>1370</v>
      </c>
    </row>
    <row r="21" spans="1:17" x14ac:dyDescent="0.3">
      <c r="A21" s="13" t="s">
        <v>15</v>
      </c>
      <c r="B21" s="14" t="s">
        <v>1221</v>
      </c>
      <c r="C21" s="14" t="s">
        <v>1222</v>
      </c>
      <c r="D21" s="14" t="s">
        <v>1223</v>
      </c>
      <c r="E21" s="15" t="s">
        <v>1224</v>
      </c>
      <c r="G21" s="13" t="s">
        <v>31</v>
      </c>
      <c r="H21" s="14" t="s">
        <v>1275</v>
      </c>
      <c r="I21" s="14" t="s">
        <v>1276</v>
      </c>
      <c r="J21" s="14" t="s">
        <v>1277</v>
      </c>
      <c r="K21" s="15" t="s">
        <v>1278</v>
      </c>
      <c r="M21" s="27" t="s">
        <v>69</v>
      </c>
      <c r="N21" s="28" t="s">
        <v>1371</v>
      </c>
      <c r="O21" s="28" t="s">
        <v>1372</v>
      </c>
      <c r="P21" s="28" t="s">
        <v>1373</v>
      </c>
      <c r="Q21" s="29" t="s">
        <v>1374</v>
      </c>
    </row>
    <row r="22" spans="1:17" x14ac:dyDescent="0.3">
      <c r="A22" s="16" t="s">
        <v>21</v>
      </c>
      <c r="B22" s="17" t="s">
        <v>1225</v>
      </c>
      <c r="C22" s="17" t="s">
        <v>1226</v>
      </c>
      <c r="D22" s="17" t="s">
        <v>1227</v>
      </c>
      <c r="E22" s="18" t="s">
        <v>1228</v>
      </c>
      <c r="G22" s="13" t="s">
        <v>32</v>
      </c>
      <c r="H22" s="14" t="s">
        <v>1279</v>
      </c>
      <c r="I22" s="14" t="s">
        <v>1280</v>
      </c>
      <c r="J22" s="14" t="s">
        <v>1281</v>
      </c>
      <c r="K22" s="15" t="s">
        <v>1282</v>
      </c>
      <c r="M22" s="13" t="s">
        <v>61</v>
      </c>
      <c r="N22" s="14" t="s">
        <v>1375</v>
      </c>
      <c r="O22" s="14" t="s">
        <v>1376</v>
      </c>
      <c r="P22" s="14" t="s">
        <v>1377</v>
      </c>
      <c r="Q22" s="15" t="s">
        <v>1378</v>
      </c>
    </row>
    <row r="23" spans="1:17" x14ac:dyDescent="0.3">
      <c r="A23" s="13" t="s">
        <v>16</v>
      </c>
      <c r="B23" s="14" t="s">
        <v>1229</v>
      </c>
      <c r="C23" s="14" t="s">
        <v>1230</v>
      </c>
      <c r="D23" s="14" t="s">
        <v>1231</v>
      </c>
      <c r="E23" s="15" t="s">
        <v>1232</v>
      </c>
      <c r="G23" s="13" t="s">
        <v>33</v>
      </c>
      <c r="H23" s="14" t="s">
        <v>1283</v>
      </c>
      <c r="I23" s="14" t="s">
        <v>1284</v>
      </c>
      <c r="J23" s="14" t="s">
        <v>1285</v>
      </c>
      <c r="K23" s="15" t="s">
        <v>1286</v>
      </c>
      <c r="M23" s="13" t="s">
        <v>62</v>
      </c>
      <c r="N23" s="14" t="s">
        <v>1379</v>
      </c>
      <c r="O23" s="14" t="s">
        <v>1380</v>
      </c>
      <c r="P23" s="14" t="s">
        <v>1381</v>
      </c>
      <c r="Q23" s="15" t="s">
        <v>1382</v>
      </c>
    </row>
    <row r="24" spans="1:17" x14ac:dyDescent="0.3">
      <c r="A24" s="13" t="s">
        <v>17</v>
      </c>
      <c r="B24" s="14" t="s">
        <v>1225</v>
      </c>
      <c r="C24" s="14" t="s">
        <v>1226</v>
      </c>
      <c r="D24" s="14" t="s">
        <v>1227</v>
      </c>
      <c r="E24" s="15" t="s">
        <v>1228</v>
      </c>
      <c r="G24" s="13" t="s">
        <v>34</v>
      </c>
      <c r="H24" s="14" t="s">
        <v>948</v>
      </c>
      <c r="I24" s="14" t="s">
        <v>948</v>
      </c>
      <c r="J24" s="14" t="s">
        <v>948</v>
      </c>
      <c r="K24" s="15" t="s">
        <v>948</v>
      </c>
      <c r="M24" s="13" t="s">
        <v>63</v>
      </c>
      <c r="N24" s="14" t="s">
        <v>1383</v>
      </c>
      <c r="O24" s="14" t="s">
        <v>1384</v>
      </c>
      <c r="P24" s="14" t="s">
        <v>1385</v>
      </c>
      <c r="Q24" s="15" t="s">
        <v>1386</v>
      </c>
    </row>
    <row r="25" spans="1:17" x14ac:dyDescent="0.3">
      <c r="A25" s="13" t="s">
        <v>18</v>
      </c>
      <c r="B25" s="14" t="s">
        <v>1233</v>
      </c>
      <c r="C25" s="14" t="s">
        <v>1234</v>
      </c>
      <c r="D25" s="14" t="s">
        <v>1235</v>
      </c>
      <c r="E25" s="15" t="s">
        <v>1236</v>
      </c>
      <c r="G25" s="13" t="s">
        <v>35</v>
      </c>
      <c r="H25" s="14" t="s">
        <v>1287</v>
      </c>
      <c r="I25" s="14" t="s">
        <v>1288</v>
      </c>
      <c r="J25" s="14" t="s">
        <v>1289</v>
      </c>
      <c r="K25" s="15" t="s">
        <v>1290</v>
      </c>
      <c r="M25" s="27" t="s">
        <v>70</v>
      </c>
      <c r="N25" s="28" t="s">
        <v>1387</v>
      </c>
      <c r="O25" s="28" t="s">
        <v>1388</v>
      </c>
      <c r="P25" s="28" t="s">
        <v>1389</v>
      </c>
      <c r="Q25" s="29" t="s">
        <v>1390</v>
      </c>
    </row>
    <row r="26" spans="1:17" x14ac:dyDescent="0.3">
      <c r="A26" s="13" t="s">
        <v>19</v>
      </c>
      <c r="B26" s="14" t="s">
        <v>1237</v>
      </c>
      <c r="C26" s="14" t="s">
        <v>1238</v>
      </c>
      <c r="D26" s="14" t="s">
        <v>1239</v>
      </c>
      <c r="E26" s="15" t="s">
        <v>1240</v>
      </c>
      <c r="G26" s="13" t="s">
        <v>36</v>
      </c>
      <c r="H26" s="14" t="s">
        <v>948</v>
      </c>
      <c r="I26" s="14" t="s">
        <v>948</v>
      </c>
      <c r="J26" s="14" t="s">
        <v>948</v>
      </c>
      <c r="K26" s="15" t="s">
        <v>948</v>
      </c>
      <c r="M26" s="13" t="s">
        <v>64</v>
      </c>
      <c r="N26" s="14">
        <v>0</v>
      </c>
      <c r="O26" s="14">
        <v>0</v>
      </c>
      <c r="P26" s="14">
        <v>0</v>
      </c>
      <c r="Q26" s="15">
        <v>0</v>
      </c>
    </row>
    <row r="27" spans="1:17" ht="15" thickBot="1" x14ac:dyDescent="0.35">
      <c r="A27" s="13" t="s">
        <v>20</v>
      </c>
      <c r="B27" s="14" t="s">
        <v>1241</v>
      </c>
      <c r="C27" s="14" t="s">
        <v>1242</v>
      </c>
      <c r="D27" s="14" t="s">
        <v>1243</v>
      </c>
      <c r="E27" s="15" t="s">
        <v>1244</v>
      </c>
      <c r="G27" s="26" t="s">
        <v>74</v>
      </c>
      <c r="H27" s="21" t="s">
        <v>1291</v>
      </c>
      <c r="I27" s="21" t="s">
        <v>1292</v>
      </c>
      <c r="J27" s="21" t="s">
        <v>1293</v>
      </c>
      <c r="K27" s="22" t="s">
        <v>1294</v>
      </c>
      <c r="M27" s="13" t="s">
        <v>65</v>
      </c>
      <c r="N27" s="14">
        <v>0</v>
      </c>
      <c r="O27" s="14">
        <v>0</v>
      </c>
      <c r="P27" s="14">
        <v>0</v>
      </c>
      <c r="Q27" s="15">
        <v>0</v>
      </c>
    </row>
    <row r="28" spans="1:17" x14ac:dyDescent="0.3">
      <c r="A28" s="19" t="s">
        <v>78</v>
      </c>
      <c r="B28" s="14" t="s">
        <v>948</v>
      </c>
      <c r="C28" s="14" t="s">
        <v>948</v>
      </c>
      <c r="D28" s="14" t="s">
        <v>948</v>
      </c>
      <c r="E28" s="15" t="s">
        <v>948</v>
      </c>
      <c r="G28" s="13"/>
      <c r="H28" s="14"/>
      <c r="I28" s="14"/>
      <c r="J28" s="14"/>
      <c r="K28" s="15"/>
      <c r="M28" s="13" t="s">
        <v>66</v>
      </c>
      <c r="N28" s="14" t="s">
        <v>1391</v>
      </c>
      <c r="O28" s="14" t="s">
        <v>1392</v>
      </c>
      <c r="P28" s="14" t="s">
        <v>1393</v>
      </c>
      <c r="Q28" s="15" t="s">
        <v>1394</v>
      </c>
    </row>
    <row r="29" spans="1:17" ht="15" thickBot="1" x14ac:dyDescent="0.35">
      <c r="A29" s="20" t="s">
        <v>22</v>
      </c>
      <c r="B29" s="21" t="s">
        <v>1245</v>
      </c>
      <c r="C29" s="21" t="s">
        <v>1246</v>
      </c>
      <c r="D29" s="21" t="s">
        <v>1247</v>
      </c>
      <c r="E29" s="22" t="s">
        <v>1248</v>
      </c>
      <c r="G29" s="13" t="s">
        <v>37</v>
      </c>
      <c r="H29" s="14" t="s">
        <v>1295</v>
      </c>
      <c r="I29" s="14" t="s">
        <v>1296</v>
      </c>
      <c r="J29" s="14" t="s">
        <v>1297</v>
      </c>
      <c r="K29" s="15" t="s">
        <v>1298</v>
      </c>
      <c r="M29" s="13" t="s">
        <v>67</v>
      </c>
      <c r="N29" s="14">
        <v>0</v>
      </c>
      <c r="O29" s="14">
        <v>0</v>
      </c>
      <c r="P29" s="14">
        <v>0</v>
      </c>
      <c r="Q29" s="15">
        <v>0</v>
      </c>
    </row>
    <row r="30" spans="1:17" x14ac:dyDescent="0.3">
      <c r="G30" s="13" t="s">
        <v>38</v>
      </c>
      <c r="H30" s="14" t="s">
        <v>1299</v>
      </c>
      <c r="I30" s="14" t="s">
        <v>1300</v>
      </c>
      <c r="J30" s="14" t="s">
        <v>1301</v>
      </c>
      <c r="K30" s="15" t="s">
        <v>1302</v>
      </c>
      <c r="M30" s="27" t="s">
        <v>71</v>
      </c>
      <c r="N30" s="28" t="s">
        <v>1391</v>
      </c>
      <c r="O30" s="28" t="s">
        <v>1392</v>
      </c>
      <c r="P30" s="28" t="s">
        <v>1393</v>
      </c>
      <c r="Q30" s="29" t="s">
        <v>1394</v>
      </c>
    </row>
    <row r="31" spans="1:17" x14ac:dyDescent="0.3">
      <c r="G31" s="13" t="s">
        <v>39</v>
      </c>
      <c r="H31" s="14" t="s">
        <v>1303</v>
      </c>
      <c r="I31" s="14" t="s">
        <v>1304</v>
      </c>
      <c r="J31" s="14" t="s">
        <v>1305</v>
      </c>
      <c r="K31" s="15" t="s">
        <v>1306</v>
      </c>
      <c r="M31" s="13" t="s">
        <v>68</v>
      </c>
      <c r="N31" s="14" t="s">
        <v>1395</v>
      </c>
      <c r="O31" s="14" t="s">
        <v>1396</v>
      </c>
      <c r="P31" s="14" t="s">
        <v>1397</v>
      </c>
      <c r="Q31" s="15" t="s">
        <v>1398</v>
      </c>
    </row>
    <row r="32" spans="1:17" x14ac:dyDescent="0.3">
      <c r="G32" s="24" t="s">
        <v>75</v>
      </c>
      <c r="H32" s="17" t="s">
        <v>1307</v>
      </c>
      <c r="I32" s="17" t="s">
        <v>1308</v>
      </c>
      <c r="J32" s="17" t="s">
        <v>1309</v>
      </c>
      <c r="K32" s="18" t="s">
        <v>1310</v>
      </c>
      <c r="M32" s="16" t="s">
        <v>72</v>
      </c>
      <c r="N32" s="17" t="s">
        <v>1399</v>
      </c>
      <c r="O32" s="17" t="s">
        <v>1400</v>
      </c>
      <c r="P32" s="17" t="s">
        <v>1282</v>
      </c>
      <c r="Q32" s="18" t="s">
        <v>1401</v>
      </c>
    </row>
    <row r="33" spans="7:12" x14ac:dyDescent="0.3">
      <c r="G33" s="13" t="s">
        <v>40</v>
      </c>
      <c r="H33" s="14" t="s">
        <v>1311</v>
      </c>
      <c r="I33" s="14" t="s">
        <v>1312</v>
      </c>
      <c r="J33" s="14" t="s">
        <v>1313</v>
      </c>
      <c r="K33" s="15" t="s">
        <v>1314</v>
      </c>
    </row>
    <row r="34" spans="7:12" x14ac:dyDescent="0.3">
      <c r="G34" s="13" t="s">
        <v>41</v>
      </c>
      <c r="H34" s="14" t="s">
        <v>1315</v>
      </c>
      <c r="I34" s="14" t="s">
        <v>1316</v>
      </c>
      <c r="J34" s="14" t="s">
        <v>1317</v>
      </c>
      <c r="K34" s="15" t="s">
        <v>1318</v>
      </c>
    </row>
    <row r="35" spans="7:12" x14ac:dyDescent="0.3">
      <c r="G35" s="13" t="s">
        <v>42</v>
      </c>
      <c r="H35" s="14" t="s">
        <v>948</v>
      </c>
      <c r="I35" s="14" t="s">
        <v>948</v>
      </c>
      <c r="J35" s="14" t="s">
        <v>948</v>
      </c>
      <c r="K35" s="15" t="s">
        <v>948</v>
      </c>
    </row>
    <row r="36" spans="7:12" x14ac:dyDescent="0.3">
      <c r="G36" s="13" t="s">
        <v>43</v>
      </c>
      <c r="H36" s="14" t="s">
        <v>948</v>
      </c>
      <c r="I36" s="14" t="s">
        <v>948</v>
      </c>
      <c r="J36" s="14" t="s">
        <v>948</v>
      </c>
      <c r="K36" s="15" t="s">
        <v>948</v>
      </c>
    </row>
    <row r="37" spans="7:12" x14ac:dyDescent="0.3">
      <c r="G37" s="13" t="s">
        <v>44</v>
      </c>
      <c r="H37" s="14" t="s">
        <v>948</v>
      </c>
      <c r="I37" s="14" t="s">
        <v>948</v>
      </c>
      <c r="J37" s="14" t="s">
        <v>948</v>
      </c>
      <c r="K37" s="15" t="s">
        <v>948</v>
      </c>
    </row>
    <row r="38" spans="7:12" ht="15" thickBot="1" x14ac:dyDescent="0.35">
      <c r="G38" s="26" t="s">
        <v>76</v>
      </c>
      <c r="H38" s="21" t="s">
        <v>1319</v>
      </c>
      <c r="I38" s="21" t="s">
        <v>1320</v>
      </c>
      <c r="J38" s="21" t="s">
        <v>1321</v>
      </c>
      <c r="K38" s="22" t="s">
        <v>1322</v>
      </c>
    </row>
    <row r="39" spans="7:12" x14ac:dyDescent="0.3">
      <c r="G39" s="13" t="s">
        <v>45</v>
      </c>
      <c r="H39" s="14" t="s">
        <v>948</v>
      </c>
      <c r="I39" s="14" t="s">
        <v>948</v>
      </c>
      <c r="J39" s="14" t="s">
        <v>948</v>
      </c>
      <c r="K39" s="15" t="s">
        <v>948</v>
      </c>
      <c r="L39" s="32"/>
    </row>
    <row r="40" spans="7:12" x14ac:dyDescent="0.3">
      <c r="G40" s="13" t="s">
        <v>46</v>
      </c>
      <c r="H40" s="14" t="s">
        <v>948</v>
      </c>
      <c r="I40" s="14" t="s">
        <v>948</v>
      </c>
      <c r="J40" s="14" t="s">
        <v>948</v>
      </c>
      <c r="K40" s="15" t="s">
        <v>948</v>
      </c>
    </row>
    <row r="41" spans="7:12" x14ac:dyDescent="0.3">
      <c r="G41" s="13" t="s">
        <v>47</v>
      </c>
      <c r="H41" s="14" t="s">
        <v>948</v>
      </c>
      <c r="I41" s="14" t="s">
        <v>948</v>
      </c>
      <c r="J41" s="14" t="s">
        <v>948</v>
      </c>
      <c r="K41" s="15" t="s">
        <v>948</v>
      </c>
    </row>
    <row r="42" spans="7:12" x14ac:dyDescent="0.3">
      <c r="G42" s="13" t="s">
        <v>48</v>
      </c>
      <c r="H42" s="14" t="s">
        <v>1323</v>
      </c>
      <c r="I42" s="14" t="s">
        <v>1323</v>
      </c>
      <c r="J42" s="14" t="s">
        <v>1323</v>
      </c>
      <c r="K42" s="15" t="s">
        <v>1323</v>
      </c>
      <c r="L42" s="32"/>
    </row>
    <row r="43" spans="7:12" x14ac:dyDescent="0.3">
      <c r="G43" s="13" t="s">
        <v>49</v>
      </c>
      <c r="H43" s="14" t="s">
        <v>1324</v>
      </c>
      <c r="I43" s="14" t="s">
        <v>1325</v>
      </c>
      <c r="J43" s="14" t="s">
        <v>1326</v>
      </c>
      <c r="K43" s="15" t="s">
        <v>1327</v>
      </c>
    </row>
    <row r="44" spans="7:12" x14ac:dyDescent="0.3">
      <c r="G44" s="13" t="s">
        <v>50</v>
      </c>
      <c r="H44" s="14" t="s">
        <v>1328</v>
      </c>
      <c r="I44" s="14" t="s">
        <v>1329</v>
      </c>
      <c r="J44" s="14" t="s">
        <v>1330</v>
      </c>
      <c r="K44" s="15" t="s">
        <v>1331</v>
      </c>
    </row>
    <row r="45" spans="7:12" x14ac:dyDescent="0.3">
      <c r="G45" s="13" t="s">
        <v>51</v>
      </c>
      <c r="H45" s="14" t="s">
        <v>1332</v>
      </c>
      <c r="I45" s="14" t="s">
        <v>1333</v>
      </c>
      <c r="J45" s="14" t="s">
        <v>1334</v>
      </c>
      <c r="K45" s="15" t="s">
        <v>1335</v>
      </c>
    </row>
    <row r="46" spans="7:12" x14ac:dyDescent="0.3">
      <c r="G46" s="13" t="s">
        <v>52</v>
      </c>
      <c r="H46" s="14" t="s">
        <v>1336</v>
      </c>
      <c r="I46" s="14" t="s">
        <v>1235</v>
      </c>
      <c r="J46" s="14" t="s">
        <v>1337</v>
      </c>
      <c r="K46" s="15" t="s">
        <v>1338</v>
      </c>
    </row>
    <row r="47" spans="7:12" ht="15" thickBot="1" x14ac:dyDescent="0.35">
      <c r="G47" s="26" t="s">
        <v>53</v>
      </c>
      <c r="H47" s="21" t="s">
        <v>1339</v>
      </c>
      <c r="I47" s="21" t="s">
        <v>1340</v>
      </c>
      <c r="J47" s="21" t="s">
        <v>1341</v>
      </c>
      <c r="K47" s="22" t="s">
        <v>1342</v>
      </c>
    </row>
    <row r="48" spans="7:12" x14ac:dyDescent="0.3">
      <c r="G48" s="16" t="s">
        <v>77</v>
      </c>
      <c r="H48" s="17" t="s">
        <v>1343</v>
      </c>
      <c r="I48" s="17" t="s">
        <v>1344</v>
      </c>
      <c r="J48" s="17" t="s">
        <v>1345</v>
      </c>
      <c r="K48" s="18" t="s">
        <v>1346</v>
      </c>
    </row>
  </sheetData>
  <sheetProtection password="CE28" sheet="1" objects="1" scenarios="1"/>
  <conditionalFormatting sqref="A22 A16 A13:E15 A17:E21 G13:K48 M13:Q32 A23:E29">
    <cfRule type="expression" dxfId="46" priority="11">
      <formula>MOD(ROW(),2)=1</formula>
    </cfRule>
  </conditionalFormatting>
  <conditionalFormatting sqref="B22">
    <cfRule type="expression" dxfId="45" priority="10">
      <formula>MOD(ROW(),2)=1</formula>
    </cfRule>
  </conditionalFormatting>
  <conditionalFormatting sqref="B16">
    <cfRule type="expression" dxfId="44" priority="9">
      <formula>MOD(ROW(),2)=1</formula>
    </cfRule>
  </conditionalFormatting>
  <conditionalFormatting sqref="C16">
    <cfRule type="expression" dxfId="43" priority="8">
      <formula>MOD(ROW(),2)=1</formula>
    </cfRule>
  </conditionalFormatting>
  <conditionalFormatting sqref="D16">
    <cfRule type="expression" dxfId="42" priority="7">
      <formula>MOD(ROW(),2)=1</formula>
    </cfRule>
  </conditionalFormatting>
  <conditionalFormatting sqref="E16">
    <cfRule type="expression" dxfId="41" priority="6">
      <formula>MOD(ROW(),2)=1</formula>
    </cfRule>
  </conditionalFormatting>
  <conditionalFormatting sqref="C22">
    <cfRule type="expression" dxfId="40" priority="5">
      <formula>MOD(ROW(),2)=1</formula>
    </cfRule>
  </conditionalFormatting>
  <conditionalFormatting sqref="D22">
    <cfRule type="expression" dxfId="39" priority="4">
      <formula>MOD(ROW(),2)=1</formula>
    </cfRule>
  </conditionalFormatting>
  <conditionalFormatting sqref="E22">
    <cfRule type="expression" dxfId="38" priority="3">
      <formula>MOD(ROW(),2)=1</formula>
    </cfRule>
  </conditionalFormatting>
  <conditionalFormatting sqref="A1:B8">
    <cfRule type="expression" dxfId="37" priority="2">
      <formula>MOD(ROW(),2)=1</formula>
    </cfRule>
  </conditionalFormatting>
  <conditionalFormatting sqref="A11">
    <cfRule type="containsText" dxfId="36" priority="1" operator="containsText" text="This data is corrupt and cannot be trusted">
      <formula>NOT(ISERROR(SEARCH("This data is corrupt and cannot be trusted",A11)))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8289" r:id="rId4" name="Button 1">
              <controlPr defaultSize="0" print="0" autoFill="0" autoPict="0" macro="[0]!DeleteSheet">
                <anchor moveWithCells="1">
                  <from>
                    <xdr:col>2</xdr:col>
                    <xdr:colOff>53340</xdr:colOff>
                    <xdr:row>2</xdr:row>
                    <xdr:rowOff>53340</xdr:rowOff>
                  </from>
                  <to>
                    <xdr:col>2</xdr:col>
                    <xdr:colOff>693420</xdr:colOff>
                    <xdr:row>4</xdr:row>
                    <xdr:rowOff>137160</xdr:rowOff>
                  </to>
                </anchor>
              </controlPr>
            </control>
          </mc:Choice>
        </mc:AlternateContent>
        <mc:AlternateContent xmlns:mc="http://schemas.openxmlformats.org/markup-compatibility/2006">
          <mc:Choice Requires="x14">
            <control shapeId="268290" r:id="rId5" name="Button 2">
              <controlPr defaultSize="0" print="0" autoFill="0" autoPict="0" macro="[0]!General.BusinessInfo">
                <anchor moveWithCells="1">
                  <from>
                    <xdr:col>2</xdr:col>
                    <xdr:colOff>91440</xdr:colOff>
                    <xdr:row>0</xdr:row>
                    <xdr:rowOff>68580</xdr:rowOff>
                  </from>
                  <to>
                    <xdr:col>3</xdr:col>
                    <xdr:colOff>678180</xdr:colOff>
                    <xdr:row>1</xdr:row>
                    <xdr:rowOff>99060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3B913B-AB6A-4726-ACBA-06F1AF7584EF}">
  <sheetPr codeName="Sheet13">
    <tabColor rgb="FF85195C"/>
  </sheetPr>
  <dimension ref="A1:AB48"/>
  <sheetViews>
    <sheetView showGridLines="0" tabSelected="1" zoomScale="99" workbookViewId="0"/>
  </sheetViews>
  <sheetFormatPr defaultRowHeight="14.4" x14ac:dyDescent="0.3"/>
  <cols>
    <col min="1" max="1" width="34.77734375" style="30" customWidth="1"/>
    <col min="2" max="2" width="17.5546875" style="31" customWidth="1"/>
    <col min="3" max="5" width="10.88671875" style="30" bestFit="1" customWidth="1"/>
    <col min="6" max="6" width="8.88671875" style="30"/>
    <col min="7" max="7" width="31.33203125" style="30" bestFit="1" customWidth="1"/>
    <col min="8" max="8" width="16.6640625" style="30" bestFit="1" customWidth="1"/>
    <col min="9" max="11" width="12.33203125" style="30" bestFit="1" customWidth="1"/>
    <col min="12" max="12" width="9.88671875" style="30" bestFit="1" customWidth="1"/>
    <col min="13" max="13" width="36.6640625" style="30" bestFit="1" customWidth="1"/>
    <col min="14" max="16" width="12.21875" style="30" customWidth="1"/>
    <col min="17" max="17" width="12.109375" style="30" customWidth="1"/>
    <col min="18" max="26" width="8.88671875" style="30"/>
    <col min="27" max="27" width="10" style="55" bestFit="1" customWidth="1"/>
    <col min="28" max="28" width="8.88671875" style="55"/>
    <col min="29" max="16384" width="8.88671875" style="30"/>
  </cols>
  <sheetData>
    <row r="1" spans="1:28" x14ac:dyDescent="0.3">
      <c r="A1" s="8" t="s">
        <v>978</v>
      </c>
      <c r="B1" s="7"/>
      <c r="C1" s="35" t="s">
        <v>977</v>
      </c>
      <c r="D1" s="36" t="s">
        <v>80</v>
      </c>
      <c r="AA1" s="52" t="s">
        <v>946</v>
      </c>
      <c r="AB1" s="52" t="s">
        <v>947</v>
      </c>
    </row>
    <row r="2" spans="1:28" x14ac:dyDescent="0.3">
      <c r="A2" s="19" t="s">
        <v>6</v>
      </c>
      <c r="B2" s="14" t="s">
        <v>955</v>
      </c>
      <c r="C2" s="37"/>
      <c r="D2" s="38"/>
      <c r="AA2" s="53">
        <v>43705</v>
      </c>
      <c r="AB2" s="54">
        <v>3.37</v>
      </c>
    </row>
    <row r="3" spans="1:28" x14ac:dyDescent="0.3">
      <c r="A3" s="19" t="s">
        <v>0</v>
      </c>
      <c r="B3" s="23">
        <v>3.39</v>
      </c>
      <c r="C3" s="66"/>
      <c r="AA3" s="53">
        <v>43704</v>
      </c>
      <c r="AB3" s="54">
        <v>3.38</v>
      </c>
    </row>
    <row r="4" spans="1:28" x14ac:dyDescent="0.3">
      <c r="A4" s="19" t="s">
        <v>2</v>
      </c>
      <c r="B4" s="15" t="s">
        <v>979</v>
      </c>
      <c r="C4" s="67"/>
      <c r="AA4" s="53">
        <v>43703</v>
      </c>
      <c r="AB4" s="54">
        <v>3.4</v>
      </c>
    </row>
    <row r="5" spans="1:28" x14ac:dyDescent="0.3">
      <c r="A5" s="19" t="s">
        <v>3</v>
      </c>
      <c r="B5" s="15">
        <v>8.76</v>
      </c>
      <c r="C5" s="68"/>
      <c r="AA5" s="53">
        <v>43700</v>
      </c>
      <c r="AB5" s="54">
        <v>3.45</v>
      </c>
    </row>
    <row r="6" spans="1:28" x14ac:dyDescent="0.3">
      <c r="A6" s="19" t="s">
        <v>4</v>
      </c>
      <c r="B6" s="15">
        <v>0.38700000000000001</v>
      </c>
      <c r="I6" s="30" t="s">
        <v>956</v>
      </c>
      <c r="AA6" s="53">
        <v>43699</v>
      </c>
      <c r="AB6" s="54">
        <v>3.49</v>
      </c>
    </row>
    <row r="7" spans="1:28" x14ac:dyDescent="0.3">
      <c r="A7" s="19" t="s">
        <v>1</v>
      </c>
      <c r="B7" s="15">
        <v>0.98</v>
      </c>
      <c r="AA7" s="53">
        <v>43698</v>
      </c>
      <c r="AB7" s="54">
        <v>3.52</v>
      </c>
    </row>
    <row r="8" spans="1:28" x14ac:dyDescent="0.3">
      <c r="A8" s="24" t="s">
        <v>5</v>
      </c>
      <c r="B8" s="18" t="s">
        <v>980</v>
      </c>
      <c r="AA8" s="53">
        <v>43697</v>
      </c>
      <c r="AB8" s="54">
        <v>3.46</v>
      </c>
    </row>
    <row r="9" spans="1:28" x14ac:dyDescent="0.3">
      <c r="A9" s="33"/>
      <c r="B9" s="34"/>
      <c r="C9" s="33"/>
      <c r="AA9" s="53">
        <v>43696</v>
      </c>
      <c r="AB9" s="54">
        <v>3.41</v>
      </c>
    </row>
    <row r="10" spans="1:28" x14ac:dyDescent="0.3">
      <c r="A10" s="69" t="str">
        <f>"This is a copy of "&amp;CompName&amp;"'s financial data."</f>
        <v>This is a copy of CapitaLand Limited (C31.SI)'s financial data.</v>
      </c>
      <c r="B10" s="70"/>
      <c r="C10" s="71"/>
      <c r="D10" s="72"/>
      <c r="Q10" s="33"/>
      <c r="AA10" s="53">
        <v>43693</v>
      </c>
      <c r="AB10" s="54">
        <v>3.39</v>
      </c>
    </row>
    <row r="11" spans="1:28" x14ac:dyDescent="0.3">
      <c r="A11" s="33" t="str">
        <f>IF(D13=E13,"This data is corrupt and cannot be trusted.","")</f>
        <v/>
      </c>
      <c r="Q11" s="33"/>
      <c r="AA11" s="53">
        <v>43692</v>
      </c>
      <c r="AB11" s="54">
        <v>3.39</v>
      </c>
    </row>
    <row r="12" spans="1:28" x14ac:dyDescent="0.3">
      <c r="AA12" s="53">
        <v>43691</v>
      </c>
      <c r="AB12" s="54">
        <v>3.45</v>
      </c>
    </row>
    <row r="13" spans="1:28" x14ac:dyDescent="0.3">
      <c r="A13" s="9" t="s">
        <v>23</v>
      </c>
      <c r="B13" s="10">
        <v>43465</v>
      </c>
      <c r="C13" s="11">
        <v>43100</v>
      </c>
      <c r="D13" s="11">
        <v>42735</v>
      </c>
      <c r="E13" s="12">
        <v>42369</v>
      </c>
      <c r="G13" s="9" t="s">
        <v>24</v>
      </c>
      <c r="H13" s="10">
        <v>43465</v>
      </c>
      <c r="I13" s="10">
        <v>43100</v>
      </c>
      <c r="J13" s="10">
        <v>42735</v>
      </c>
      <c r="K13" s="25">
        <v>42369</v>
      </c>
      <c r="M13" s="9" t="s">
        <v>54</v>
      </c>
      <c r="N13" s="10">
        <v>43465</v>
      </c>
      <c r="O13" s="11">
        <v>43100</v>
      </c>
      <c r="P13" s="11">
        <v>42735</v>
      </c>
      <c r="Q13" s="12">
        <v>42369</v>
      </c>
      <c r="AA13" s="53">
        <v>43690</v>
      </c>
      <c r="AB13" s="54">
        <v>3.4</v>
      </c>
    </row>
    <row r="14" spans="1:28" x14ac:dyDescent="0.3">
      <c r="A14" s="13" t="s">
        <v>9</v>
      </c>
      <c r="B14" s="14" t="s">
        <v>981</v>
      </c>
      <c r="C14" s="14" t="s">
        <v>982</v>
      </c>
      <c r="D14" s="14" t="s">
        <v>983</v>
      </c>
      <c r="E14" s="15" t="s">
        <v>984</v>
      </c>
      <c r="G14" s="13" t="s">
        <v>25</v>
      </c>
      <c r="H14" s="14" t="s">
        <v>1033</v>
      </c>
      <c r="I14" s="14" t="s">
        <v>1034</v>
      </c>
      <c r="J14" s="14" t="s">
        <v>1035</v>
      </c>
      <c r="K14" s="15" t="s">
        <v>1036</v>
      </c>
      <c r="M14" s="13" t="s">
        <v>22</v>
      </c>
      <c r="N14" s="14" t="s">
        <v>1029</v>
      </c>
      <c r="O14" s="14" t="s">
        <v>1030</v>
      </c>
      <c r="P14" s="14" t="s">
        <v>1031</v>
      </c>
      <c r="Q14" s="15" t="s">
        <v>1032</v>
      </c>
      <c r="AA14" s="53">
        <v>43685</v>
      </c>
      <c r="AB14" s="54">
        <v>3.44</v>
      </c>
    </row>
    <row r="15" spans="1:28" x14ac:dyDescent="0.3">
      <c r="A15" s="13" t="s">
        <v>8</v>
      </c>
      <c r="B15" s="14" t="s">
        <v>985</v>
      </c>
      <c r="C15" s="14" t="s">
        <v>986</v>
      </c>
      <c r="D15" s="14" t="s">
        <v>987</v>
      </c>
      <c r="E15" s="15" t="s">
        <v>988</v>
      </c>
      <c r="G15" s="13" t="s">
        <v>26</v>
      </c>
      <c r="H15" s="14" t="s">
        <v>948</v>
      </c>
      <c r="I15" s="14" t="s">
        <v>948</v>
      </c>
      <c r="J15" s="14" t="s">
        <v>948</v>
      </c>
      <c r="K15" s="15" t="s">
        <v>948</v>
      </c>
      <c r="M15" s="13" t="s">
        <v>55</v>
      </c>
      <c r="N15" s="14" t="s">
        <v>1131</v>
      </c>
      <c r="O15" s="14" t="s">
        <v>1132</v>
      </c>
      <c r="P15" s="14" t="s">
        <v>1133</v>
      </c>
      <c r="Q15" s="15" t="s">
        <v>1134</v>
      </c>
      <c r="AA15" s="53">
        <v>43684</v>
      </c>
      <c r="AB15" s="54">
        <v>3.45</v>
      </c>
    </row>
    <row r="16" spans="1:28" x14ac:dyDescent="0.3">
      <c r="A16" s="16" t="s">
        <v>7</v>
      </c>
      <c r="B16" s="17" t="s">
        <v>989</v>
      </c>
      <c r="C16" s="17" t="s">
        <v>990</v>
      </c>
      <c r="D16" s="17" t="s">
        <v>991</v>
      </c>
      <c r="E16" s="18" t="s">
        <v>992</v>
      </c>
      <c r="G16" s="13" t="s">
        <v>27</v>
      </c>
      <c r="H16" s="14" t="s">
        <v>1037</v>
      </c>
      <c r="I16" s="14" t="s">
        <v>1038</v>
      </c>
      <c r="J16" s="14" t="s">
        <v>1039</v>
      </c>
      <c r="K16" s="15" t="s">
        <v>1040</v>
      </c>
      <c r="M16" s="13" t="s">
        <v>56</v>
      </c>
      <c r="N16" s="14" t="s">
        <v>1135</v>
      </c>
      <c r="O16" s="14" t="s">
        <v>1136</v>
      </c>
      <c r="P16" s="14" t="s">
        <v>1137</v>
      </c>
      <c r="Q16" s="15" t="s">
        <v>1138</v>
      </c>
      <c r="AA16" s="53">
        <v>43683</v>
      </c>
      <c r="AB16" s="54">
        <v>3.41</v>
      </c>
    </row>
    <row r="17" spans="1:17" x14ac:dyDescent="0.3">
      <c r="A17" s="13" t="s">
        <v>10</v>
      </c>
      <c r="B17" s="14" t="s">
        <v>948</v>
      </c>
      <c r="C17" s="14" t="s">
        <v>948</v>
      </c>
      <c r="D17" s="14" t="s">
        <v>948</v>
      </c>
      <c r="E17" s="15" t="s">
        <v>948</v>
      </c>
      <c r="G17" s="19" t="s">
        <v>28</v>
      </c>
      <c r="H17" s="14" t="s">
        <v>1041</v>
      </c>
      <c r="I17" s="14" t="s">
        <v>1042</v>
      </c>
      <c r="J17" s="14" t="s">
        <v>1043</v>
      </c>
      <c r="K17" s="15" t="s">
        <v>1044</v>
      </c>
      <c r="M17" s="13" t="s">
        <v>57</v>
      </c>
      <c r="N17" s="14" t="s">
        <v>1139</v>
      </c>
      <c r="O17" s="14" t="s">
        <v>1140</v>
      </c>
      <c r="P17" s="14" t="s">
        <v>1141</v>
      </c>
      <c r="Q17" s="15" t="s">
        <v>1142</v>
      </c>
    </row>
    <row r="18" spans="1:17" x14ac:dyDescent="0.3">
      <c r="A18" s="13" t="s">
        <v>11</v>
      </c>
      <c r="B18" s="14" t="s">
        <v>993</v>
      </c>
      <c r="C18" s="14" t="s">
        <v>994</v>
      </c>
      <c r="D18" s="14" t="s">
        <v>995</v>
      </c>
      <c r="E18" s="15" t="s">
        <v>996</v>
      </c>
      <c r="G18" s="13" t="s">
        <v>29</v>
      </c>
      <c r="H18" s="14" t="s">
        <v>1045</v>
      </c>
      <c r="I18" s="14" t="s">
        <v>1046</v>
      </c>
      <c r="J18" s="14" t="s">
        <v>1047</v>
      </c>
      <c r="K18" s="15" t="s">
        <v>1048</v>
      </c>
      <c r="M18" s="13" t="s">
        <v>58</v>
      </c>
      <c r="N18" s="14" t="s">
        <v>1143</v>
      </c>
      <c r="O18" s="14" t="s">
        <v>1144</v>
      </c>
      <c r="P18" s="14" t="s">
        <v>1145</v>
      </c>
      <c r="Q18" s="15" t="s">
        <v>1146</v>
      </c>
    </row>
    <row r="19" spans="1:17" x14ac:dyDescent="0.3">
      <c r="A19" s="13" t="s">
        <v>13</v>
      </c>
      <c r="B19" s="14" t="s">
        <v>948</v>
      </c>
      <c r="C19" s="14" t="s">
        <v>948</v>
      </c>
      <c r="D19" s="14" t="s">
        <v>948</v>
      </c>
      <c r="E19" s="15" t="s">
        <v>948</v>
      </c>
      <c r="G19" s="24" t="s">
        <v>73</v>
      </c>
      <c r="H19" s="17" t="s">
        <v>1049</v>
      </c>
      <c r="I19" s="17" t="s">
        <v>1050</v>
      </c>
      <c r="J19" s="17" t="s">
        <v>1051</v>
      </c>
      <c r="K19" s="18" t="s">
        <v>1052</v>
      </c>
      <c r="M19" s="13" t="s">
        <v>59</v>
      </c>
      <c r="N19" s="14">
        <v>0</v>
      </c>
      <c r="O19" s="14">
        <v>0</v>
      </c>
      <c r="P19" s="14">
        <v>0</v>
      </c>
      <c r="Q19" s="15">
        <v>0</v>
      </c>
    </row>
    <row r="20" spans="1:17" x14ac:dyDescent="0.3">
      <c r="A20" s="13" t="s">
        <v>14</v>
      </c>
      <c r="B20" s="14" t="s">
        <v>997</v>
      </c>
      <c r="C20" s="14" t="s">
        <v>998</v>
      </c>
      <c r="D20" s="14" t="s">
        <v>999</v>
      </c>
      <c r="E20" s="15" t="s">
        <v>1000</v>
      </c>
      <c r="G20" s="13" t="s">
        <v>30</v>
      </c>
      <c r="H20" s="14" t="s">
        <v>1053</v>
      </c>
      <c r="I20" s="14" t="s">
        <v>1054</v>
      </c>
      <c r="J20" s="14" t="s">
        <v>1055</v>
      </c>
      <c r="K20" s="15" t="s">
        <v>1056</v>
      </c>
      <c r="M20" s="13" t="s">
        <v>60</v>
      </c>
      <c r="N20" s="14" t="s">
        <v>1147</v>
      </c>
      <c r="O20" s="14" t="s">
        <v>1148</v>
      </c>
      <c r="P20" s="14" t="s">
        <v>1149</v>
      </c>
      <c r="Q20" s="15" t="s">
        <v>1150</v>
      </c>
    </row>
    <row r="21" spans="1:17" x14ac:dyDescent="0.3">
      <c r="A21" s="13" t="s">
        <v>15</v>
      </c>
      <c r="B21" s="14" t="s">
        <v>1001</v>
      </c>
      <c r="C21" s="14" t="s">
        <v>1002</v>
      </c>
      <c r="D21" s="14" t="s">
        <v>1003</v>
      </c>
      <c r="E21" s="15" t="s">
        <v>1004</v>
      </c>
      <c r="G21" s="13" t="s">
        <v>31</v>
      </c>
      <c r="H21" s="14" t="s">
        <v>1057</v>
      </c>
      <c r="I21" s="14" t="s">
        <v>1058</v>
      </c>
      <c r="J21" s="14" t="s">
        <v>1059</v>
      </c>
      <c r="K21" s="15" t="s">
        <v>1060</v>
      </c>
      <c r="M21" s="27" t="s">
        <v>69</v>
      </c>
      <c r="N21" s="28" t="s">
        <v>1151</v>
      </c>
      <c r="O21" s="28" t="s">
        <v>1152</v>
      </c>
      <c r="P21" s="28" t="s">
        <v>1153</v>
      </c>
      <c r="Q21" s="29" t="s">
        <v>1154</v>
      </c>
    </row>
    <row r="22" spans="1:17" x14ac:dyDescent="0.3">
      <c r="A22" s="16" t="s">
        <v>21</v>
      </c>
      <c r="B22" s="17" t="s">
        <v>1005</v>
      </c>
      <c r="C22" s="17" t="s">
        <v>1006</v>
      </c>
      <c r="D22" s="17" t="s">
        <v>1007</v>
      </c>
      <c r="E22" s="18" t="s">
        <v>1008</v>
      </c>
      <c r="G22" s="13" t="s">
        <v>32</v>
      </c>
      <c r="H22" s="14" t="s">
        <v>1061</v>
      </c>
      <c r="I22" s="14" t="s">
        <v>1062</v>
      </c>
      <c r="J22" s="14" t="s">
        <v>1063</v>
      </c>
      <c r="K22" s="15" t="s">
        <v>1064</v>
      </c>
      <c r="M22" s="13" t="s">
        <v>61</v>
      </c>
      <c r="N22" s="14" t="s">
        <v>1155</v>
      </c>
      <c r="O22" s="14" t="s">
        <v>1155</v>
      </c>
      <c r="P22" s="14" t="s">
        <v>1155</v>
      </c>
      <c r="Q22" s="15" t="s">
        <v>1155</v>
      </c>
    </row>
    <row r="23" spans="1:17" x14ac:dyDescent="0.3">
      <c r="A23" s="13" t="s">
        <v>16</v>
      </c>
      <c r="B23" s="14" t="s">
        <v>1009</v>
      </c>
      <c r="C23" s="14" t="s">
        <v>1010</v>
      </c>
      <c r="D23" s="14" t="s">
        <v>1011</v>
      </c>
      <c r="E23" s="15" t="s">
        <v>1012</v>
      </c>
      <c r="G23" s="13" t="s">
        <v>33</v>
      </c>
      <c r="H23" s="14" t="s">
        <v>1065</v>
      </c>
      <c r="I23" s="14" t="s">
        <v>1066</v>
      </c>
      <c r="J23" s="14" t="s">
        <v>1067</v>
      </c>
      <c r="K23" s="15" t="s">
        <v>1068</v>
      </c>
      <c r="M23" s="13" t="s">
        <v>62</v>
      </c>
      <c r="N23" s="14" t="s">
        <v>1156</v>
      </c>
      <c r="O23" s="14" t="s">
        <v>1157</v>
      </c>
      <c r="P23" s="14" t="s">
        <v>1158</v>
      </c>
      <c r="Q23" s="15" t="s">
        <v>1159</v>
      </c>
    </row>
    <row r="24" spans="1:17" x14ac:dyDescent="0.3">
      <c r="A24" s="13" t="s">
        <v>17</v>
      </c>
      <c r="B24" s="14" t="s">
        <v>1005</v>
      </c>
      <c r="C24" s="14" t="s">
        <v>1006</v>
      </c>
      <c r="D24" s="14" t="s">
        <v>1007</v>
      </c>
      <c r="E24" s="15" t="s">
        <v>1008</v>
      </c>
      <c r="G24" s="13" t="s">
        <v>34</v>
      </c>
      <c r="H24" s="14" t="s">
        <v>948</v>
      </c>
      <c r="I24" s="14" t="s">
        <v>948</v>
      </c>
      <c r="J24" s="14" t="s">
        <v>948</v>
      </c>
      <c r="K24" s="15" t="s">
        <v>948</v>
      </c>
      <c r="M24" s="13" t="s">
        <v>63</v>
      </c>
      <c r="N24" s="14" t="s">
        <v>1160</v>
      </c>
      <c r="O24" s="14" t="s">
        <v>1161</v>
      </c>
      <c r="P24" s="14" t="s">
        <v>1162</v>
      </c>
      <c r="Q24" s="15" t="s">
        <v>1163</v>
      </c>
    </row>
    <row r="25" spans="1:17" x14ac:dyDescent="0.3">
      <c r="A25" s="13" t="s">
        <v>18</v>
      </c>
      <c r="B25" s="14" t="s">
        <v>1013</v>
      </c>
      <c r="C25" s="14" t="s">
        <v>1014</v>
      </c>
      <c r="D25" s="14" t="s">
        <v>1015</v>
      </c>
      <c r="E25" s="15" t="s">
        <v>1016</v>
      </c>
      <c r="G25" s="13" t="s">
        <v>35</v>
      </c>
      <c r="H25" s="14" t="s">
        <v>1069</v>
      </c>
      <c r="I25" s="14" t="s">
        <v>1070</v>
      </c>
      <c r="J25" s="14" t="s">
        <v>1071</v>
      </c>
      <c r="K25" s="15" t="s">
        <v>1072</v>
      </c>
      <c r="M25" s="27" t="s">
        <v>70</v>
      </c>
      <c r="N25" s="28" t="s">
        <v>1164</v>
      </c>
      <c r="O25" s="28" t="s">
        <v>1165</v>
      </c>
      <c r="P25" s="28" t="s">
        <v>1166</v>
      </c>
      <c r="Q25" s="29" t="s">
        <v>1167</v>
      </c>
    </row>
    <row r="26" spans="1:17" x14ac:dyDescent="0.3">
      <c r="A26" s="13" t="s">
        <v>19</v>
      </c>
      <c r="B26" s="14" t="s">
        <v>1017</v>
      </c>
      <c r="C26" s="14" t="s">
        <v>1018</v>
      </c>
      <c r="D26" s="14" t="s">
        <v>1019</v>
      </c>
      <c r="E26" s="15" t="s">
        <v>1020</v>
      </c>
      <c r="G26" s="13" t="s">
        <v>36</v>
      </c>
      <c r="H26" s="14" t="s">
        <v>1073</v>
      </c>
      <c r="I26" s="14" t="s">
        <v>1074</v>
      </c>
      <c r="J26" s="14" t="s">
        <v>1075</v>
      </c>
      <c r="K26" s="15" t="s">
        <v>1076</v>
      </c>
      <c r="M26" s="13" t="s">
        <v>64</v>
      </c>
      <c r="N26" s="14" t="s">
        <v>1168</v>
      </c>
      <c r="O26" s="14" t="s">
        <v>1169</v>
      </c>
      <c r="P26" s="14" t="s">
        <v>1170</v>
      </c>
      <c r="Q26" s="15" t="s">
        <v>1171</v>
      </c>
    </row>
    <row r="27" spans="1:17" ht="15" thickBot="1" x14ac:dyDescent="0.35">
      <c r="A27" s="13" t="s">
        <v>20</v>
      </c>
      <c r="B27" s="14" t="s">
        <v>1021</v>
      </c>
      <c r="C27" s="14" t="s">
        <v>1022</v>
      </c>
      <c r="D27" s="14" t="s">
        <v>1023</v>
      </c>
      <c r="E27" s="15" t="s">
        <v>1024</v>
      </c>
      <c r="G27" s="26" t="s">
        <v>74</v>
      </c>
      <c r="H27" s="21" t="s">
        <v>1077</v>
      </c>
      <c r="I27" s="21" t="s">
        <v>1078</v>
      </c>
      <c r="J27" s="21" t="s">
        <v>1079</v>
      </c>
      <c r="K27" s="22" t="s">
        <v>1080</v>
      </c>
      <c r="M27" s="13" t="s">
        <v>65</v>
      </c>
      <c r="N27" s="14">
        <v>0</v>
      </c>
      <c r="O27" s="14">
        <v>0</v>
      </c>
      <c r="P27" s="14">
        <v>0</v>
      </c>
      <c r="Q27" s="15">
        <v>0</v>
      </c>
    </row>
    <row r="28" spans="1:17" x14ac:dyDescent="0.3">
      <c r="A28" s="19" t="s">
        <v>78</v>
      </c>
      <c r="B28" s="14" t="s">
        <v>1025</v>
      </c>
      <c r="C28" s="14" t="s">
        <v>1026</v>
      </c>
      <c r="D28" s="14" t="s">
        <v>1027</v>
      </c>
      <c r="E28" s="15" t="s">
        <v>1028</v>
      </c>
      <c r="G28" s="13"/>
      <c r="H28" s="14"/>
      <c r="I28" s="14"/>
      <c r="J28" s="14"/>
      <c r="K28" s="15"/>
      <c r="M28" s="13" t="s">
        <v>66</v>
      </c>
      <c r="N28" s="14" t="s">
        <v>1172</v>
      </c>
      <c r="O28" s="14" t="s">
        <v>1173</v>
      </c>
      <c r="P28" s="14" t="s">
        <v>1174</v>
      </c>
      <c r="Q28" s="15" t="s">
        <v>1175</v>
      </c>
    </row>
    <row r="29" spans="1:17" ht="15" thickBot="1" x14ac:dyDescent="0.35">
      <c r="A29" s="20" t="s">
        <v>22</v>
      </c>
      <c r="B29" s="21" t="s">
        <v>1029</v>
      </c>
      <c r="C29" s="21" t="s">
        <v>1030</v>
      </c>
      <c r="D29" s="21" t="s">
        <v>1031</v>
      </c>
      <c r="E29" s="22" t="s">
        <v>1032</v>
      </c>
      <c r="G29" s="13" t="s">
        <v>37</v>
      </c>
      <c r="H29" s="14" t="s">
        <v>1081</v>
      </c>
      <c r="I29" s="14" t="s">
        <v>1082</v>
      </c>
      <c r="J29" s="14" t="s">
        <v>1083</v>
      </c>
      <c r="K29" s="15" t="s">
        <v>1084</v>
      </c>
      <c r="M29" s="13" t="s">
        <v>67</v>
      </c>
      <c r="N29" s="14" t="s">
        <v>1176</v>
      </c>
      <c r="O29" s="14" t="s">
        <v>1177</v>
      </c>
      <c r="P29" s="14" t="s">
        <v>1178</v>
      </c>
      <c r="Q29" s="15" t="s">
        <v>1179</v>
      </c>
    </row>
    <row r="30" spans="1:17" x14ac:dyDescent="0.3">
      <c r="G30" s="13" t="s">
        <v>38</v>
      </c>
      <c r="H30" s="14" t="s">
        <v>1085</v>
      </c>
      <c r="I30" s="14" t="s">
        <v>1086</v>
      </c>
      <c r="J30" s="14" t="s">
        <v>1087</v>
      </c>
      <c r="K30" s="15" t="s">
        <v>1088</v>
      </c>
      <c r="M30" s="27" t="s">
        <v>71</v>
      </c>
      <c r="N30" s="28" t="s">
        <v>1180</v>
      </c>
      <c r="O30" s="28" t="s">
        <v>1181</v>
      </c>
      <c r="P30" s="28" t="s">
        <v>1182</v>
      </c>
      <c r="Q30" s="29" t="s">
        <v>1183</v>
      </c>
    </row>
    <row r="31" spans="1:17" x14ac:dyDescent="0.3">
      <c r="G31" s="13" t="s">
        <v>39</v>
      </c>
      <c r="H31" s="14" t="s">
        <v>1089</v>
      </c>
      <c r="I31" s="14" t="s">
        <v>1090</v>
      </c>
      <c r="J31" s="14" t="s">
        <v>1091</v>
      </c>
      <c r="K31" s="15" t="s">
        <v>1092</v>
      </c>
      <c r="M31" s="13" t="s">
        <v>68</v>
      </c>
      <c r="N31" s="14" t="s">
        <v>1184</v>
      </c>
      <c r="O31" s="14" t="s">
        <v>1185</v>
      </c>
      <c r="P31" s="14" t="s">
        <v>1186</v>
      </c>
      <c r="Q31" s="15" t="s">
        <v>1187</v>
      </c>
    </row>
    <row r="32" spans="1:17" x14ac:dyDescent="0.3">
      <c r="G32" s="24" t="s">
        <v>75</v>
      </c>
      <c r="H32" s="17" t="s">
        <v>1093</v>
      </c>
      <c r="I32" s="17" t="s">
        <v>1094</v>
      </c>
      <c r="J32" s="17" t="s">
        <v>1095</v>
      </c>
      <c r="K32" s="18" t="s">
        <v>1096</v>
      </c>
      <c r="M32" s="16" t="s">
        <v>72</v>
      </c>
      <c r="N32" s="17" t="s">
        <v>1188</v>
      </c>
      <c r="O32" s="17" t="s">
        <v>1189</v>
      </c>
      <c r="P32" s="17" t="s">
        <v>1190</v>
      </c>
      <c r="Q32" s="18" t="s">
        <v>1191</v>
      </c>
    </row>
    <row r="33" spans="7:12" x14ac:dyDescent="0.3">
      <c r="G33" s="13" t="s">
        <v>40</v>
      </c>
      <c r="H33" s="14" t="s">
        <v>1097</v>
      </c>
      <c r="I33" s="14" t="s">
        <v>1098</v>
      </c>
      <c r="J33" s="14" t="s">
        <v>1099</v>
      </c>
      <c r="K33" s="15" t="s">
        <v>1100</v>
      </c>
    </row>
    <row r="34" spans="7:12" x14ac:dyDescent="0.3">
      <c r="G34" s="13" t="s">
        <v>41</v>
      </c>
      <c r="H34" s="14" t="s">
        <v>1101</v>
      </c>
      <c r="I34" s="14" t="s">
        <v>1102</v>
      </c>
      <c r="J34" s="14" t="s">
        <v>1103</v>
      </c>
      <c r="K34" s="15" t="s">
        <v>1104</v>
      </c>
    </row>
    <row r="35" spans="7:12" x14ac:dyDescent="0.3">
      <c r="G35" s="13" t="s">
        <v>42</v>
      </c>
      <c r="H35" s="14" t="s">
        <v>948</v>
      </c>
      <c r="I35" s="14" t="s">
        <v>948</v>
      </c>
      <c r="J35" s="14" t="s">
        <v>948</v>
      </c>
      <c r="K35" s="15" t="s">
        <v>948</v>
      </c>
    </row>
    <row r="36" spans="7:12" x14ac:dyDescent="0.3">
      <c r="G36" s="13" t="s">
        <v>43</v>
      </c>
      <c r="H36" s="14" t="s">
        <v>1025</v>
      </c>
      <c r="I36" s="14" t="s">
        <v>1026</v>
      </c>
      <c r="J36" s="14" t="s">
        <v>1027</v>
      </c>
      <c r="K36" s="15" t="s">
        <v>1028</v>
      </c>
    </row>
    <row r="37" spans="7:12" x14ac:dyDescent="0.3">
      <c r="G37" s="13" t="s">
        <v>44</v>
      </c>
      <c r="H37" s="14" t="s">
        <v>948</v>
      </c>
      <c r="I37" s="14" t="s">
        <v>948</v>
      </c>
      <c r="J37" s="14" t="s">
        <v>948</v>
      </c>
      <c r="K37" s="15" t="s">
        <v>948</v>
      </c>
    </row>
    <row r="38" spans="7:12" ht="15" thickBot="1" x14ac:dyDescent="0.35">
      <c r="G38" s="26" t="s">
        <v>76</v>
      </c>
      <c r="H38" s="21" t="s">
        <v>1105</v>
      </c>
      <c r="I38" s="21" t="s">
        <v>1106</v>
      </c>
      <c r="J38" s="21" t="s">
        <v>1107</v>
      </c>
      <c r="K38" s="22" t="s">
        <v>1108</v>
      </c>
    </row>
    <row r="39" spans="7:12" x14ac:dyDescent="0.3">
      <c r="G39" s="13" t="s">
        <v>45</v>
      </c>
      <c r="H39" s="14" t="s">
        <v>948</v>
      </c>
      <c r="I39" s="14" t="s">
        <v>948</v>
      </c>
      <c r="J39" s="14" t="s">
        <v>948</v>
      </c>
      <c r="K39" s="15" t="s">
        <v>948</v>
      </c>
      <c r="L39" s="32"/>
    </row>
    <row r="40" spans="7:12" x14ac:dyDescent="0.3">
      <c r="G40" s="13" t="s">
        <v>46</v>
      </c>
      <c r="H40" s="14" t="s">
        <v>948</v>
      </c>
      <c r="I40" s="14" t="s">
        <v>948</v>
      </c>
      <c r="J40" s="14" t="s">
        <v>948</v>
      </c>
      <c r="K40" s="15" t="s">
        <v>948</v>
      </c>
    </row>
    <row r="41" spans="7:12" x14ac:dyDescent="0.3">
      <c r="G41" s="13" t="s">
        <v>47</v>
      </c>
      <c r="H41" s="14" t="s">
        <v>948</v>
      </c>
      <c r="I41" s="14" t="s">
        <v>948</v>
      </c>
      <c r="J41" s="14" t="s">
        <v>948</v>
      </c>
      <c r="K41" s="15" t="s">
        <v>948</v>
      </c>
    </row>
    <row r="42" spans="7:12" x14ac:dyDescent="0.3">
      <c r="G42" s="13" t="s">
        <v>48</v>
      </c>
      <c r="H42" s="14" t="s">
        <v>1109</v>
      </c>
      <c r="I42" s="14" t="s">
        <v>1109</v>
      </c>
      <c r="J42" s="14" t="s">
        <v>1109</v>
      </c>
      <c r="K42" s="15" t="s">
        <v>1110</v>
      </c>
      <c r="L42" s="32"/>
    </row>
    <row r="43" spans="7:12" x14ac:dyDescent="0.3">
      <c r="G43" s="13" t="s">
        <v>49</v>
      </c>
      <c r="H43" s="14" t="s">
        <v>1111</v>
      </c>
      <c r="I43" s="14" t="s">
        <v>1112</v>
      </c>
      <c r="J43" s="14" t="s">
        <v>1113</v>
      </c>
      <c r="K43" s="15" t="s">
        <v>1114</v>
      </c>
    </row>
    <row r="44" spans="7:12" x14ac:dyDescent="0.3">
      <c r="G44" s="13" t="s">
        <v>50</v>
      </c>
      <c r="H44" s="14" t="s">
        <v>1115</v>
      </c>
      <c r="I44" s="14" t="s">
        <v>1116</v>
      </c>
      <c r="J44" s="14" t="s">
        <v>1117</v>
      </c>
      <c r="K44" s="15" t="s">
        <v>1118</v>
      </c>
    </row>
    <row r="45" spans="7:12" x14ac:dyDescent="0.3">
      <c r="G45" s="13" t="s">
        <v>51</v>
      </c>
      <c r="H45" s="14" t="s">
        <v>948</v>
      </c>
      <c r="I45" s="14" t="s">
        <v>948</v>
      </c>
      <c r="J45" s="14" t="s">
        <v>948</v>
      </c>
      <c r="K45" s="15" t="s">
        <v>948</v>
      </c>
    </row>
    <row r="46" spans="7:12" x14ac:dyDescent="0.3">
      <c r="G46" s="13" t="s">
        <v>52</v>
      </c>
      <c r="H46" s="14" t="s">
        <v>1119</v>
      </c>
      <c r="I46" s="14" t="s">
        <v>1120</v>
      </c>
      <c r="J46" s="14" t="s">
        <v>1121</v>
      </c>
      <c r="K46" s="15" t="s">
        <v>1122</v>
      </c>
    </row>
    <row r="47" spans="7:12" ht="15" thickBot="1" x14ac:dyDescent="0.35">
      <c r="G47" s="26" t="s">
        <v>53</v>
      </c>
      <c r="H47" s="21" t="s">
        <v>1123</v>
      </c>
      <c r="I47" s="21" t="s">
        <v>1124</v>
      </c>
      <c r="J47" s="21" t="s">
        <v>1125</v>
      </c>
      <c r="K47" s="22" t="s">
        <v>1126</v>
      </c>
    </row>
    <row r="48" spans="7:12" x14ac:dyDescent="0.3">
      <c r="G48" s="16" t="s">
        <v>77</v>
      </c>
      <c r="H48" s="17" t="s">
        <v>1127</v>
      </c>
      <c r="I48" s="17" t="s">
        <v>1128</v>
      </c>
      <c r="J48" s="17" t="s">
        <v>1129</v>
      </c>
      <c r="K48" s="18" t="s">
        <v>1130</v>
      </c>
    </row>
  </sheetData>
  <sheetProtection password="CE28" sheet="1" objects="1" scenarios="1"/>
  <conditionalFormatting sqref="A22 A16 A13:E15 A17:E21 G13:K48 M13:Q32 A23:E29">
    <cfRule type="expression" dxfId="35" priority="11">
      <formula>MOD(ROW(),2)=1</formula>
    </cfRule>
  </conditionalFormatting>
  <conditionalFormatting sqref="B22">
    <cfRule type="expression" dxfId="34" priority="10">
      <formula>MOD(ROW(),2)=1</formula>
    </cfRule>
  </conditionalFormatting>
  <conditionalFormatting sqref="B16">
    <cfRule type="expression" dxfId="33" priority="9">
      <formula>MOD(ROW(),2)=1</formula>
    </cfRule>
  </conditionalFormatting>
  <conditionalFormatting sqref="C16">
    <cfRule type="expression" dxfId="32" priority="8">
      <formula>MOD(ROW(),2)=1</formula>
    </cfRule>
  </conditionalFormatting>
  <conditionalFormatting sqref="D16">
    <cfRule type="expression" dxfId="31" priority="7">
      <formula>MOD(ROW(),2)=1</formula>
    </cfRule>
  </conditionalFormatting>
  <conditionalFormatting sqref="E16">
    <cfRule type="expression" dxfId="30" priority="6">
      <formula>MOD(ROW(),2)=1</formula>
    </cfRule>
  </conditionalFormatting>
  <conditionalFormatting sqref="C22">
    <cfRule type="expression" dxfId="29" priority="5">
      <formula>MOD(ROW(),2)=1</formula>
    </cfRule>
  </conditionalFormatting>
  <conditionalFormatting sqref="D22">
    <cfRule type="expression" dxfId="28" priority="4">
      <formula>MOD(ROW(),2)=1</formula>
    </cfRule>
  </conditionalFormatting>
  <conditionalFormatting sqref="E22">
    <cfRule type="expression" dxfId="27" priority="3">
      <formula>MOD(ROW(),2)=1</formula>
    </cfRule>
  </conditionalFormatting>
  <conditionalFormatting sqref="A1:B8">
    <cfRule type="expression" dxfId="26" priority="2">
      <formula>MOD(ROW(),2)=1</formula>
    </cfRule>
  </conditionalFormatting>
  <conditionalFormatting sqref="A11">
    <cfRule type="containsText" dxfId="25" priority="1" operator="containsText" text="This data is corrupt and cannot be trusted">
      <formula>NOT(ISERROR(SEARCH("This data is corrupt and cannot be trusted",A11)))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7025" r:id="rId4" name="Button 1">
              <controlPr defaultSize="0" print="0" autoFill="0" autoPict="0" macro="[0]!DeleteSheet">
                <anchor moveWithCells="1">
                  <from>
                    <xdr:col>2</xdr:col>
                    <xdr:colOff>53340</xdr:colOff>
                    <xdr:row>2</xdr:row>
                    <xdr:rowOff>53340</xdr:rowOff>
                  </from>
                  <to>
                    <xdr:col>2</xdr:col>
                    <xdr:colOff>693420</xdr:colOff>
                    <xdr:row>4</xdr:row>
                    <xdr:rowOff>137160</xdr:rowOff>
                  </to>
                </anchor>
              </controlPr>
            </control>
          </mc:Choice>
        </mc:AlternateContent>
        <mc:AlternateContent xmlns:mc="http://schemas.openxmlformats.org/markup-compatibility/2006">
          <mc:Choice Requires="x14">
            <control shapeId="257026" r:id="rId5" name="Button 2">
              <controlPr defaultSize="0" print="0" autoFill="0" autoPict="0" macro="[0]!General.BusinessInfo">
                <anchor moveWithCells="1">
                  <from>
                    <xdr:col>2</xdr:col>
                    <xdr:colOff>91440</xdr:colOff>
                    <xdr:row>0</xdr:row>
                    <xdr:rowOff>68580</xdr:rowOff>
                  </from>
                  <to>
                    <xdr:col>3</xdr:col>
                    <xdr:colOff>678180</xdr:colOff>
                    <xdr:row>1</xdr:row>
                    <xdr:rowOff>99060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68405E"/>
  </sheetPr>
  <dimension ref="A1:AB48"/>
  <sheetViews>
    <sheetView showGridLines="0" topLeftCell="P1" zoomScale="99" workbookViewId="0">
      <selection activeCell="AB17" sqref="AB17"/>
    </sheetView>
  </sheetViews>
  <sheetFormatPr defaultRowHeight="14.4" x14ac:dyDescent="0.3"/>
  <cols>
    <col min="1" max="1" width="34.77734375" style="30" customWidth="1"/>
    <col min="2" max="2" width="17.5546875" style="31" customWidth="1"/>
    <col min="3" max="5" width="10.88671875" style="30" bestFit="1" customWidth="1"/>
    <col min="6" max="6" width="8.88671875" style="30"/>
    <col min="7" max="7" width="31.33203125" style="30" bestFit="1" customWidth="1"/>
    <col min="8" max="8" width="16.6640625" style="30" bestFit="1" customWidth="1"/>
    <col min="9" max="11" width="12.33203125" style="30" bestFit="1" customWidth="1"/>
    <col min="12" max="12" width="9.88671875" style="30" bestFit="1" customWidth="1"/>
    <col min="13" max="13" width="36.6640625" style="30" bestFit="1" customWidth="1"/>
    <col min="14" max="16" width="12.21875" style="30" customWidth="1"/>
    <col min="17" max="17" width="12.109375" style="30" customWidth="1"/>
    <col min="18" max="26" width="8.88671875" style="30"/>
    <col min="27" max="27" width="10" style="55" bestFit="1" customWidth="1"/>
    <col min="28" max="28" width="8.88671875" style="55"/>
    <col min="29" max="16384" width="8.88671875" style="30"/>
  </cols>
  <sheetData>
    <row r="1" spans="1:28" x14ac:dyDescent="0.3">
      <c r="A1" s="8" t="s">
        <v>1779</v>
      </c>
      <c r="B1" s="7"/>
      <c r="C1" s="35" t="s">
        <v>1778</v>
      </c>
      <c r="D1" s="36" t="s">
        <v>80</v>
      </c>
      <c r="AA1" s="52" t="s">
        <v>946</v>
      </c>
      <c r="AB1" s="52" t="s">
        <v>947</v>
      </c>
    </row>
    <row r="2" spans="1:28" x14ac:dyDescent="0.3">
      <c r="A2" s="19" t="s">
        <v>6</v>
      </c>
      <c r="B2" s="14" t="s">
        <v>1194</v>
      </c>
      <c r="C2" s="37"/>
      <c r="D2" s="38"/>
      <c r="AA2" s="53">
        <v>43728</v>
      </c>
      <c r="AB2" s="54">
        <v>141.01</v>
      </c>
    </row>
    <row r="3" spans="1:28" x14ac:dyDescent="0.3">
      <c r="A3" s="19" t="s">
        <v>0</v>
      </c>
      <c r="B3" s="23">
        <v>139.44</v>
      </c>
      <c r="C3" s="66"/>
      <c r="AA3" s="53">
        <v>43727</v>
      </c>
      <c r="AB3" s="54">
        <v>140.30000000000001</v>
      </c>
    </row>
    <row r="4" spans="1:28" x14ac:dyDescent="0.3">
      <c r="A4" s="19" t="s">
        <v>2</v>
      </c>
      <c r="B4" s="15" t="s">
        <v>1780</v>
      </c>
      <c r="C4" s="67"/>
      <c r="AA4" s="53">
        <v>43726</v>
      </c>
      <c r="AB4" s="54">
        <v>137.36000000000001</v>
      </c>
    </row>
    <row r="5" spans="1:28" x14ac:dyDescent="0.3">
      <c r="A5" s="19" t="s">
        <v>3</v>
      </c>
      <c r="B5" s="15">
        <v>27.56</v>
      </c>
      <c r="C5" s="68"/>
      <c r="AA5" s="53">
        <v>43725</v>
      </c>
      <c r="AB5" s="54">
        <v>136.96</v>
      </c>
    </row>
    <row r="6" spans="1:28" x14ac:dyDescent="0.3">
      <c r="A6" s="19" t="s">
        <v>4</v>
      </c>
      <c r="B6" s="15">
        <v>5.0599999999999996</v>
      </c>
      <c r="I6" s="30" t="s">
        <v>956</v>
      </c>
      <c r="AA6" s="53">
        <v>43724</v>
      </c>
      <c r="AB6" s="54">
        <v>135.83000000000001</v>
      </c>
    </row>
    <row r="7" spans="1:28" x14ac:dyDescent="0.3">
      <c r="A7" s="19" t="s">
        <v>1</v>
      </c>
      <c r="B7" s="15">
        <v>0.97</v>
      </c>
      <c r="AA7" s="53">
        <v>43721</v>
      </c>
      <c r="AB7" s="54">
        <v>137.78</v>
      </c>
    </row>
    <row r="8" spans="1:28" x14ac:dyDescent="0.3">
      <c r="A8" s="24" t="s">
        <v>5</v>
      </c>
      <c r="B8" s="18" t="s">
        <v>1781</v>
      </c>
      <c r="AA8" s="53">
        <v>43720</v>
      </c>
      <c r="AB8" s="54">
        <v>137.85</v>
      </c>
    </row>
    <row r="9" spans="1:28" x14ac:dyDescent="0.3">
      <c r="A9" s="33"/>
      <c r="B9" s="34"/>
      <c r="C9" s="33"/>
      <c r="AA9" s="53">
        <v>43719</v>
      </c>
      <c r="AB9" s="54">
        <v>135.91</v>
      </c>
    </row>
    <row r="10" spans="1:28" x14ac:dyDescent="0.3">
      <c r="A10" s="69" t="str">
        <f>"This is a copy of "&amp;CompName&amp;"'s financial data."</f>
        <v>This is a copy of Microsoft Corporation (MSFT)'s financial data.</v>
      </c>
      <c r="B10" s="70"/>
      <c r="C10" s="71"/>
      <c r="D10" s="72"/>
      <c r="Q10" s="33"/>
      <c r="AA10" s="53">
        <v>43718</v>
      </c>
      <c r="AB10" s="54">
        <v>136.80000000000001</v>
      </c>
    </row>
    <row r="11" spans="1:28" x14ac:dyDescent="0.3">
      <c r="A11" s="33" t="str">
        <f>IF(D13=E13,"This data is corrupt and cannot be trusted.","")</f>
        <v/>
      </c>
      <c r="Q11" s="33"/>
      <c r="AA11" s="53">
        <v>43717</v>
      </c>
      <c r="AB11" s="54">
        <v>139.59</v>
      </c>
    </row>
    <row r="12" spans="1:28" x14ac:dyDescent="0.3">
      <c r="AA12" s="53">
        <v>43714</v>
      </c>
      <c r="AB12" s="54">
        <v>140.03</v>
      </c>
    </row>
    <row r="13" spans="1:28" x14ac:dyDescent="0.3">
      <c r="A13" s="9" t="s">
        <v>23</v>
      </c>
      <c r="B13" s="10">
        <v>43646</v>
      </c>
      <c r="C13" s="11">
        <v>43281</v>
      </c>
      <c r="D13" s="11">
        <v>42916</v>
      </c>
      <c r="E13" s="12">
        <v>42551</v>
      </c>
      <c r="G13" s="9" t="s">
        <v>24</v>
      </c>
      <c r="H13" s="10">
        <f>ReportDate</f>
        <v>43646</v>
      </c>
      <c r="I13" s="10">
        <f>C13</f>
        <v>43281</v>
      </c>
      <c r="J13" s="10">
        <f>D13</f>
        <v>42916</v>
      </c>
      <c r="K13" s="25">
        <f>E13</f>
        <v>42551</v>
      </c>
      <c r="M13" s="9" t="s">
        <v>54</v>
      </c>
      <c r="N13" s="10">
        <f>ReportDate</f>
        <v>43646</v>
      </c>
      <c r="O13" s="11">
        <f>C13</f>
        <v>43281</v>
      </c>
      <c r="P13" s="11">
        <f>D13</f>
        <v>42916</v>
      </c>
      <c r="Q13" s="12">
        <f>E13</f>
        <v>42551</v>
      </c>
      <c r="AA13" s="53">
        <v>43713</v>
      </c>
      <c r="AB13" s="54">
        <v>139.11000000000001</v>
      </c>
    </row>
    <row r="14" spans="1:28" x14ac:dyDescent="0.3">
      <c r="A14" s="13" t="s">
        <v>9</v>
      </c>
      <c r="B14" s="14" t="str">
        <f>IF(ISNUMBER(ISComp1)=TRUE,TEXT(ISComp1,"### ### ### ###"),"0")</f>
        <v>125 843 000</v>
      </c>
      <c r="C14" s="14" t="str">
        <f>IF(ISNUMBER(Data!C2)=TRUE,TEXT(Data!C2,"### ### ### ###"),"0")</f>
        <v>110 360 000</v>
      </c>
      <c r="D14" s="14" t="str">
        <f>IF(ISNUMBER(Data!D2)=TRUE,TEXT(Data!D2,"### ### ### ###"),"0")</f>
        <v>96 571 000</v>
      </c>
      <c r="E14" s="15" t="str">
        <f>IF(ISNUMBER(Data!E2)=TRUE,TEXT(Data!E2,"### ### ### ###"),"0")</f>
        <v>91 154 000</v>
      </c>
      <c r="G14" s="13" t="s">
        <v>25</v>
      </c>
      <c r="H14" s="14" t="str">
        <f>IF(ISNUMBER(BSComp1)=TRUE,TEXT(BSComp1,"### ### ###"),0)</f>
        <v>11 356 000</v>
      </c>
      <c r="I14" s="14" t="str">
        <f>IF(ISNUMBER(Data!I2)=TRUE,TEXT(Data!I2,"### ### ###"),"0")</f>
        <v>11 946 000</v>
      </c>
      <c r="J14" s="14" t="str">
        <f>IF(ISNUMBER(Data!J2)=TRUE,TEXT(Data!J2,"### ### ###"),"0")</f>
        <v>7 663 000</v>
      </c>
      <c r="K14" s="15" t="str">
        <f>IF(ISNUMBER(Data!K2)=TRUE,TEXT(Data!K2,"### ### ###"),"0")</f>
        <v>6 510 000</v>
      </c>
      <c r="M14" s="13" t="s">
        <v>22</v>
      </c>
      <c r="N14" s="14" t="str">
        <f>IF(ISNUMBER(Data!N16)=TRUE,TEXT(Data!N16,"### ### ###"),0)</f>
        <v>39 240 000</v>
      </c>
      <c r="O14" s="14" t="str">
        <f>IF(ISNUMBER(Data!O16)=TRUE,TEXT(Data!O16,"### ### ###"),0)</f>
        <v>16 571 000</v>
      </c>
      <c r="P14" s="14" t="str">
        <f>IF(ISNUMBER(Data!P16)=TRUE,TEXT(Data!P16,"### ### ###"),0)</f>
        <v>25 489 000</v>
      </c>
      <c r="Q14" s="15" t="str">
        <f>IF(ISNUMBER(Data!Q16)=TRUE,TEXT(Data!Q16,"### ### ###"),0)</f>
        <v>20 539 000</v>
      </c>
      <c r="AA14" s="53">
        <v>43712</v>
      </c>
      <c r="AB14" s="54">
        <v>137.30000000000001</v>
      </c>
    </row>
    <row r="15" spans="1:28" x14ac:dyDescent="0.3">
      <c r="A15" s="13" t="s">
        <v>8</v>
      </c>
      <c r="B15" s="14" t="str">
        <f>IF(ISNUMBER(Data!B3)=TRUE,TEXT(Data!B3,"### ### ### ###"),"0")</f>
        <v>42 910 000</v>
      </c>
      <c r="C15" s="14" t="str">
        <f>IF(ISNUMBER(Data!C3)=TRUE,TEXT(Data!C3,"### ### ### ###"),"0")</f>
        <v>38 353 000</v>
      </c>
      <c r="D15" s="14" t="str">
        <f>IF(ISNUMBER(Data!D3)=TRUE,TEXT(Data!D3,"### ### ### ###"),"0")</f>
        <v>34 261 000</v>
      </c>
      <c r="E15" s="15" t="str">
        <f>IF(ISNUMBER(Data!E3)=TRUE,TEXT(Data!E3,"### ### ### ###"),"0")</f>
        <v>32 780 000</v>
      </c>
      <c r="G15" s="13" t="s">
        <v>26</v>
      </c>
      <c r="H15" s="14" t="str">
        <f>IF(ISNUMBER(Data!H3)=TRUE,TEXT(Data!H3,"### ### ###"),"0")</f>
        <v>122 476 000</v>
      </c>
      <c r="I15" s="14" t="str">
        <f>IF(ISNUMBER(Data!I3)=TRUE,TEXT(Data!I3,"### ### ###"),"0")</f>
        <v>121 718 000</v>
      </c>
      <c r="J15" s="14" t="str">
        <f>IF(ISNUMBER(Data!J3)=TRUE,TEXT(Data!J3,"### ### ###"),"0")</f>
        <v>125 238 000</v>
      </c>
      <c r="K15" s="15" t="str">
        <f>IF(ISNUMBER(Data!K3)=TRUE,TEXT(Data!K3,"### ### ###"),"0")</f>
        <v>106 531 000</v>
      </c>
      <c r="M15" s="13" t="s">
        <v>55</v>
      </c>
      <c r="N15" s="14" t="str">
        <f>IF(ISNUMBER(CFComp1)=TRUE,TEXT(CFComp1,"### ### ###"),0)</f>
        <v>11 600 000</v>
      </c>
      <c r="O15" s="14" t="str">
        <f>IF(ISNUMBER(Data!O2)=TRUE,TEXT(Data!O2,"### ### ###"),0)</f>
        <v>9 900 000</v>
      </c>
      <c r="P15" s="14" t="str">
        <f>IF(ISNUMBER(Data!P2)=TRUE,TEXT(Data!P2,"### ### ###"),0)</f>
        <v>7 800 000</v>
      </c>
      <c r="Q15" s="15" t="str">
        <f>IF(ISNUMBER(Data!Q2)=TRUE,TEXT(Data!Q2,"### ### ###"),0)</f>
        <v>5 878 000</v>
      </c>
      <c r="AA15" s="53">
        <v>43711</v>
      </c>
      <c r="AB15" s="54">
        <v>136.61000000000001</v>
      </c>
    </row>
    <row r="16" spans="1:28" x14ac:dyDescent="0.3">
      <c r="A16" s="16" t="s">
        <v>7</v>
      </c>
      <c r="B16" s="17" t="str">
        <f>IF(ISNUMBER(Data!B15)=TRUE,TEXT(Data!B15,"### ### ### ###"),"0")</f>
        <v>82 933 000</v>
      </c>
      <c r="C16" s="17" t="str">
        <f>IF(ISNUMBER(Data!C15)=TRUE,TEXT(Data!C15,"### ### ### ###"),"0")</f>
        <v>72 007 000</v>
      </c>
      <c r="D16" s="17" t="str">
        <f>IF(ISNUMBER(Data!D15)=TRUE,TEXT(Data!D15,"### ### ### ###"),"0")</f>
        <v>62 310 000</v>
      </c>
      <c r="E16" s="18" t="str">
        <f>IF(ISNUMBER(Data!E15)=TRUE,TEXT(Data!E15,"### ### ### ###"),"0")</f>
        <v>58 374 000</v>
      </c>
      <c r="G16" s="13" t="s">
        <v>27</v>
      </c>
      <c r="H16" s="14" t="str">
        <f>IF(ISNUMBER(Data!H4)=TRUE,TEXT(Data!H4,"### ### ###"),"0")</f>
        <v>29 524 000</v>
      </c>
      <c r="I16" s="14" t="str">
        <f>IF(ISNUMBER(Data!I4)=TRUE,TEXT(Data!I4,"### ### ###"),"0")</f>
        <v>26 481 000</v>
      </c>
      <c r="J16" s="14" t="str">
        <f>IF(ISNUMBER(Data!J4)=TRUE,TEXT(Data!J4,"### ### ###"),"0")</f>
        <v>22 431 000</v>
      </c>
      <c r="K16" s="15" t="str">
        <f>IF(ISNUMBER(Data!K4)=TRUE,TEXT(Data!K4,"### ### ###"),"0")</f>
        <v>18 277 000</v>
      </c>
      <c r="M16" s="13" t="s">
        <v>56</v>
      </c>
      <c r="N16" s="14" t="str">
        <f>IF(ISNUMBER(Data!N3)=TRUE,TEXT(Data!N3,"### ### ###"),0)</f>
        <v>-2 521 000</v>
      </c>
      <c r="O16" s="14" t="str">
        <f>IF(ISNUMBER(Data!O3)=TRUE,TEXT(Data!O3,"### ### ###"),0)</f>
        <v>-3 054 000</v>
      </c>
      <c r="P16" s="14" t="str">
        <f>IF(ISNUMBER(Data!P3)=TRUE,TEXT(Data!P3,"### ### ###"),0)</f>
        <v>1 342 000</v>
      </c>
      <c r="Q16" s="15" t="str">
        <f>IF(ISNUMBER(Data!Q3)=TRUE,TEXT(Data!Q3,"### ### ###"),0)</f>
        <v>6 229 000</v>
      </c>
      <c r="AA16" s="53">
        <v>43707</v>
      </c>
      <c r="AB16" s="54">
        <v>139.15</v>
      </c>
    </row>
    <row r="17" spans="1:17" x14ac:dyDescent="0.3">
      <c r="A17" s="13" t="s">
        <v>10</v>
      </c>
      <c r="B17" s="14" t="str">
        <f>IF(ISNUMBER(Data!B4)=TRUE,TEXT(Data!B4,"### ### ### ###"),"0")</f>
        <v>16 876 000</v>
      </c>
      <c r="C17" s="14" t="str">
        <f>IF(ISNUMBER(Data!C4)=TRUE,TEXT(Data!C4,"### ### ### ###"),"0")</f>
        <v>14 726 000</v>
      </c>
      <c r="D17" s="14" t="str">
        <f>IF(ISNUMBER(Data!D4)=TRUE,TEXT(Data!D4,"### ### ### ###"),"0")</f>
        <v>13 037 000</v>
      </c>
      <c r="E17" s="15" t="str">
        <f>IF(ISNUMBER(Data!E4)=TRUE,TEXT(Data!E4,"### ### ### ###"),"0")</f>
        <v>11 988 000</v>
      </c>
      <c r="G17" s="19" t="s">
        <v>28</v>
      </c>
      <c r="H17" s="14" t="str">
        <f>IF(ISNUMBER(Data!H5)=TRUE,TEXT(Data!H5,"### ### ###"),"0")</f>
        <v>2 063 000</v>
      </c>
      <c r="I17" s="14" t="str">
        <f>IF(ISNUMBER(Data!I5)=TRUE,TEXT(Data!I5,"### ### ###"),"0")</f>
        <v>2 662 000</v>
      </c>
      <c r="J17" s="14" t="str">
        <f>IF(ISNUMBER(Data!J5)=TRUE,TEXT(Data!J5,"### ### ###"),"0")</f>
        <v>2 181 000</v>
      </c>
      <c r="K17" s="15" t="str">
        <f>IF(ISNUMBER(Data!K5)=TRUE,TEXT(Data!K5,"### ### ###"),"0")</f>
        <v>2 251 000</v>
      </c>
      <c r="M17" s="13" t="s">
        <v>57</v>
      </c>
      <c r="N17" s="14" t="str">
        <f>IF(ISNUMBER(Data!N4)=TRUE,TEXT(Data!N4,"### ### ###"),0)</f>
        <v>-2 812 000</v>
      </c>
      <c r="O17" s="14" t="str">
        <f>IF(ISNUMBER(Data!O4)=TRUE,TEXT(Data!O4,"### ### ###"),0)</f>
        <v>-3 862 000</v>
      </c>
      <c r="P17" s="14" t="str">
        <f>IF(ISNUMBER(Data!P4)=TRUE,TEXT(Data!P4,"### ### ###"),0)</f>
        <v>-1 216 000</v>
      </c>
      <c r="Q17" s="15" t="str">
        <f>IF(ISNUMBER(Data!Q4)=TRUE,TEXT(Data!Q4,"### ### ###"),0)</f>
        <v>562 000</v>
      </c>
    </row>
    <row r="18" spans="1:17" x14ac:dyDescent="0.3">
      <c r="A18" s="13" t="s">
        <v>11</v>
      </c>
      <c r="B18" s="14" t="str">
        <f>IF(ISNUMBER(Data!B5)=TRUE,TEXT(Data!B5,"### ### ### ###"),"0")</f>
        <v>23 098 000</v>
      </c>
      <c r="C18" s="14" t="str">
        <f>IF(ISNUMBER(Data!C5)=TRUE,TEXT(Data!C5,"### ### ### ###"),"0")</f>
        <v>22 223 000</v>
      </c>
      <c r="D18" s="14" t="str">
        <f>IF(ISNUMBER(Data!D5)=TRUE,TEXT(Data!D5,"### ### ### ###"),"0")</f>
        <v>19 942 000</v>
      </c>
      <c r="E18" s="15" t="str">
        <f>IF(ISNUMBER(Data!E5)=TRUE,TEXT(Data!E5,"### ### ### ###"),"0")</f>
        <v>19 198 000</v>
      </c>
      <c r="G18" s="13" t="s">
        <v>29</v>
      </c>
      <c r="H18" s="14" t="str">
        <f>IF(ISNUMBER(Data!H6)=TRUE,TEXT(Data!H6,"### ### ###"),"0")</f>
        <v>10 133 000</v>
      </c>
      <c r="I18" s="14" t="str">
        <f>IF(ISNUMBER(Data!I6)=TRUE,TEXT(Data!I6,"### ### ###"),"0")</f>
        <v>6 855 000</v>
      </c>
      <c r="J18" s="14" t="str">
        <f>IF(ISNUMBER(Data!J6)=TRUE,TEXT(Data!J6,"### ### ###"),"0")</f>
        <v>5 183 000</v>
      </c>
      <c r="K18" s="15" t="str">
        <f>IF(ISNUMBER(Data!K6)=TRUE,TEXT(Data!K6,"### ### ###"),"0")</f>
        <v>6 091 000</v>
      </c>
      <c r="M18" s="13" t="s">
        <v>58</v>
      </c>
      <c r="N18" s="14" t="str">
        <f>IF(ISNUMBER(Data!N5)=TRUE,TEXT(Data!N5,"### ### ###"),0)</f>
        <v>4 694 000</v>
      </c>
      <c r="O18" s="14" t="str">
        <f>IF(ISNUMBER(Data!O5)=TRUE,TEXT(Data!O5,"### ### ###"),0)</f>
        <v>7 070 000</v>
      </c>
      <c r="P18" s="14" t="str">
        <f>IF(ISNUMBER(Data!P5)=TRUE,TEXT(Data!P5,"### ### ###"),0)</f>
        <v>3 901 000</v>
      </c>
      <c r="Q18" s="15" t="str">
        <f>IF(ISNUMBER(Data!Q5)=TRUE,TEXT(Data!Q5,"### ### ###"),0)</f>
        <v>2 653 000</v>
      </c>
    </row>
    <row r="19" spans="1:17" x14ac:dyDescent="0.3">
      <c r="A19" s="13" t="s">
        <v>13</v>
      </c>
      <c r="B19" s="14" t="str">
        <f>IF(ISNUMBER(Data!B6)=TRUE,TEXT(Data!B6,"### ### ### ###"),"0")</f>
        <v>0</v>
      </c>
      <c r="C19" s="14" t="str">
        <f>IF(ISNUMBER(Data!C6)=TRUE,TEXT(Data!C6,"### ### ### ###"),"0")</f>
        <v>0</v>
      </c>
      <c r="D19" s="14" t="str">
        <f>IF(ISNUMBER(Data!D6)=TRUE,TEXT(Data!D6,"### ### ### ###"),"0")</f>
        <v>0</v>
      </c>
      <c r="E19" s="15" t="str">
        <f>IF(ISNUMBER(Data!E6)=TRUE,TEXT(Data!E6,"### ### ### ###"),"0")</f>
        <v>0</v>
      </c>
      <c r="G19" s="24" t="s">
        <v>73</v>
      </c>
      <c r="H19" s="17" t="str">
        <f>IF(ISNUMBER(Data!H31)=TRUE,TEXT(Data!H31,"### ### ###"),"0")</f>
        <v>175 552 000</v>
      </c>
      <c r="I19" s="17" t="str">
        <f>IF(ISNUMBER(Data!I31)=TRUE,TEXT(Data!I31,"### ### ###"),"0")</f>
        <v>169 662 000</v>
      </c>
      <c r="J19" s="17" t="str">
        <f>IF(ISNUMBER(Data!J31)=TRUE,TEXT(Data!J31,"### ### ###"),"0")</f>
        <v>162 696 000</v>
      </c>
      <c r="K19" s="18" t="str">
        <f>IF(ISNUMBER(Data!K31)=TRUE,TEXT(Data!K31,"### ### ###"),"0")</f>
        <v>139 660 000</v>
      </c>
      <c r="M19" s="13" t="s">
        <v>59</v>
      </c>
      <c r="N19" s="14" t="str">
        <f>IF(ISNUMBER(Data!N6)=TRUE,TEXT(Data!N6,"### ### ###"),0)</f>
        <v>597 000</v>
      </c>
      <c r="O19" s="14" t="str">
        <f>IF(ISNUMBER(Data!O6)=TRUE,TEXT(Data!O6,"### ### ###"),0)</f>
        <v>-465 000</v>
      </c>
      <c r="P19" s="14" t="str">
        <f>IF(ISNUMBER(Data!P6)=TRUE,TEXT(Data!P6,"### ### ###"),0)</f>
        <v>50 000</v>
      </c>
      <c r="Q19" s="15" t="str">
        <f>IF(ISNUMBER(Data!Q6)=TRUE,TEXT(Data!Q6,"### ### ###"),0)</f>
        <v>600 000</v>
      </c>
    </row>
    <row r="20" spans="1:17" x14ac:dyDescent="0.3">
      <c r="A20" s="13" t="s">
        <v>14</v>
      </c>
      <c r="B20" s="14" t="str">
        <f>IF(ISNUMBER(Data!B7)=TRUE,TEXT(Data!B7,"### ### ### ###"),"0")</f>
        <v>0</v>
      </c>
      <c r="C20" s="14" t="str">
        <f>IF(ISNUMBER(Data!C7)=TRUE,TEXT(Data!C7,"### ### ### ###"),"0")</f>
        <v>0</v>
      </c>
      <c r="D20" s="14" t="str">
        <f>IF(ISNUMBER(Data!D7)=TRUE,TEXT(Data!D7,"### ### ### ###"),"0")</f>
        <v>0</v>
      </c>
      <c r="E20" s="15" t="str">
        <f>IF(ISNUMBER(Data!E7)=TRUE,TEXT(Data!E7,"### ### ### ###"),"0")</f>
        <v>0</v>
      </c>
      <c r="G20" s="13" t="s">
        <v>30</v>
      </c>
      <c r="H20" s="14" t="str">
        <f>IF(ISNUMBER(Data!H7)=TRUE,TEXT(Data!H7,"### ### ###"),"0")</f>
        <v>2 649 000</v>
      </c>
      <c r="I20" s="14" t="str">
        <f>IF(ISNUMBER(Data!I7)=TRUE,TEXT(Data!I7,"### ### ###"),"0")</f>
        <v>1 862 000</v>
      </c>
      <c r="J20" s="14" t="str">
        <f>IF(ISNUMBER(Data!J7)=TRUE,TEXT(Data!J7,"### ### ###"),"0")</f>
        <v>6 023 000</v>
      </c>
      <c r="K20" s="15" t="str">
        <f>IF(ISNUMBER(Data!K7)=TRUE,TEXT(Data!K7,"### ### ###"),"0")</f>
        <v>10 438 000</v>
      </c>
      <c r="M20" s="13" t="s">
        <v>60</v>
      </c>
      <c r="N20" s="14" t="str">
        <f>IF(ISNUMBER(Data!N7)=TRUE,TEXT(Data!N7,"### ### ###"),0)</f>
        <v>-1 542 000</v>
      </c>
      <c r="O20" s="14" t="str">
        <f>IF(ISNUMBER(Data!O7)=TRUE,TEXT(Data!O7,"### ### ###"),0)</f>
        <v>-459 000</v>
      </c>
      <c r="P20" s="14" t="str">
        <f>IF(ISNUMBER(Data!P7)=TRUE,TEXT(Data!P7,"### ### ###"),0)</f>
        <v>349 000</v>
      </c>
      <c r="Q20" s="15" t="str">
        <f>IF(ISNUMBER(Data!Q7)=TRUE,TEXT(Data!Q7,"### ### ###"),0)</f>
        <v>-2 907 000</v>
      </c>
    </row>
    <row r="21" spans="1:17" x14ac:dyDescent="0.3">
      <c r="A21" s="13" t="s">
        <v>15</v>
      </c>
      <c r="B21" s="14" t="str">
        <f>IF(ISNUMBER(Data!B8)=TRUE,TEXT(Data!B8,"### ### ### ###"),"0")</f>
        <v>82 884 000</v>
      </c>
      <c r="C21" s="14" t="str">
        <f>IF(ISNUMBER(Data!C8)=TRUE,TEXT(Data!C8,"### ### ### ###"),"0")</f>
        <v>75 302 000</v>
      </c>
      <c r="D21" s="14" t="str">
        <f>IF(ISNUMBER(Data!D8)=TRUE,TEXT(Data!D8,"### ### ### ###"),"0")</f>
        <v>67 240 000</v>
      </c>
      <c r="E21" s="15" t="str">
        <f>IF(ISNUMBER(Data!E8)=TRUE,TEXT(Data!E8,"### ### ### ###"),"0")</f>
        <v>63 966 000</v>
      </c>
      <c r="G21" s="13" t="s">
        <v>31</v>
      </c>
      <c r="H21" s="14" t="str">
        <f>IF(ISNUMBER(Data!H8)=TRUE,TEXT(Data!H8,"### ### ###"),"0")</f>
        <v>43 856 000</v>
      </c>
      <c r="I21" s="14" t="str">
        <f>IF(ISNUMBER(Data!I8)=TRUE,TEXT(Data!I8,"### ### ###"),"0")</f>
        <v>36 146 000</v>
      </c>
      <c r="J21" s="14" t="str">
        <f>IF(ISNUMBER(Data!J8)=TRUE,TEXT(Data!J8,"### ### ###"),"0")</f>
        <v>30 289 000</v>
      </c>
      <c r="K21" s="15" t="str">
        <f>IF(ISNUMBER(Data!K8)=TRUE,TEXT(Data!K8,"### ### ###"),"0")</f>
        <v>18 356 000</v>
      </c>
      <c r="M21" s="27" t="s">
        <v>69</v>
      </c>
      <c r="N21" s="28" t="str">
        <f>IF(ISNUMBER(Data!N17)=TRUE,TEXT(Data!N17,"### ### ###"),0)</f>
        <v>52 185 000</v>
      </c>
      <c r="O21" s="28" t="str">
        <f>IF(ISNUMBER(Data!O17)=TRUE,TEXT(Data!O17,"### ### ###"),0)</f>
        <v>43 884 000</v>
      </c>
      <c r="P21" s="28" t="str">
        <f>IF(ISNUMBER(Data!P17)=TRUE,TEXT(Data!P17,"### ### ###"),0)</f>
        <v>39 507 000</v>
      </c>
      <c r="Q21" s="29" t="str">
        <f>IF(ISNUMBER(Data!Q17)=TRUE,TEXT(Data!Q17,"### ### ###"),0)</f>
        <v>33 325 000</v>
      </c>
    </row>
    <row r="22" spans="1:17" x14ac:dyDescent="0.3">
      <c r="A22" s="16" t="s">
        <v>21</v>
      </c>
      <c r="B22" s="17" t="str">
        <f>IF(ISNUMBER(Data!B16)=TRUE,TEXT(Data!B16,"### ### ### ###"),"0")</f>
        <v>42 959 000</v>
      </c>
      <c r="C22" s="17" t="str">
        <f>IF(ISNUMBER(Data!C16)=TRUE,TEXT(Data!C16,"### ### ### ###"),"0")</f>
        <v>35 058 000</v>
      </c>
      <c r="D22" s="17" t="str">
        <f>IF(ISNUMBER(Data!D16)=TRUE,TEXT(Data!D16,"### ### ### ###"),"0")</f>
        <v>29 331 000</v>
      </c>
      <c r="E22" s="18" t="str">
        <f>IF(ISNUMBER(Data!E16)=TRUE,TEXT(Data!E16,"### ### ### ###"),"0")</f>
        <v>27 188 000</v>
      </c>
      <c r="G22" s="13" t="s">
        <v>32</v>
      </c>
      <c r="H22" s="14" t="str">
        <f>IF(ISNUMBER(Data!H9)=TRUE,TEXT(Data!H9,"### ### ###"),"0")</f>
        <v>42 026 000</v>
      </c>
      <c r="I22" s="14" t="str">
        <f>IF(ISNUMBER(Data!I9)=TRUE,TEXT(Data!I9,"### ### ###"),"0")</f>
        <v>35 683 000</v>
      </c>
      <c r="J22" s="14" t="str">
        <f>IF(ISNUMBER(Data!J9)=TRUE,TEXT(Data!J9,"### ### ###"),"0")</f>
        <v>35 122 000</v>
      </c>
      <c r="K22" s="15" t="str">
        <f>IF(ISNUMBER(Data!K9)=TRUE,TEXT(Data!K9,"### ### ###"),"0")</f>
        <v>17 872 000</v>
      </c>
      <c r="M22" s="13" t="s">
        <v>61</v>
      </c>
      <c r="N22" s="14" t="str">
        <f>IF(ISNUMBER(Data!N8)=TRUE,TEXT(Data!N8,"### ### ###"),0)</f>
        <v>-13 925 000</v>
      </c>
      <c r="O22" s="14" t="str">
        <f>IF(ISNUMBER(Data!O8)=TRUE,TEXT(Data!O8,"### ### ###"),0)</f>
        <v>-11 632 000</v>
      </c>
      <c r="P22" s="14" t="str">
        <f>IF(ISNUMBER(Data!P8)=TRUE,TEXT(Data!P8,"### ### ###"),0)</f>
        <v>-8 129 000</v>
      </c>
      <c r="Q22" s="15" t="str">
        <f>IF(ISNUMBER(Data!Q8)=TRUE,TEXT(Data!Q8,"### ### ###"),0)</f>
        <v>-8 343 000</v>
      </c>
    </row>
    <row r="23" spans="1:17" x14ac:dyDescent="0.3">
      <c r="A23" s="13" t="s">
        <v>16</v>
      </c>
      <c r="B23" s="14" t="str">
        <f>IF(ISNUMBER(Data!B9)=TRUE,TEXT(Data!B9,"### ### ### ###"),"0")</f>
        <v>729 000</v>
      </c>
      <c r="C23" s="14" t="str">
        <f>IF(ISNUMBER(Data!C9)=TRUE,TEXT(Data!C9,"### ### ### ###"),"0")</f>
        <v>1 416 000</v>
      </c>
      <c r="D23" s="14" t="str">
        <f>IF(ISNUMBER(Data!D9)=TRUE,TEXT(Data!D9,"### ### ### ###"),"0")</f>
        <v>570 000</v>
      </c>
      <c r="E23" s="15" t="str">
        <f>IF(ISNUMBER(Data!E9)=TRUE,TEXT(Data!E9,"### ### ### ###"),"0")</f>
        <v>-1 549 000</v>
      </c>
      <c r="G23" s="13" t="s">
        <v>33</v>
      </c>
      <c r="H23" s="14" t="str">
        <f>IF(ISNUMBER(Data!H10)=TRUE,TEXT(Data!H10,"### ### ###"),"0")</f>
        <v>7 750 000</v>
      </c>
      <c r="I23" s="14" t="str">
        <f>IF(ISNUMBER(Data!I10)=TRUE,TEXT(Data!I10,"### ### ###"),"0")</f>
        <v>8 053 000</v>
      </c>
      <c r="J23" s="14" t="str">
        <f>IF(ISNUMBER(Data!J10)=TRUE,TEXT(Data!J10,"### ### ###"),"0")</f>
        <v>10 106 000</v>
      </c>
      <c r="K23" s="15" t="str">
        <f>IF(ISNUMBER(Data!K10)=TRUE,TEXT(Data!K10,"### ### ###"),"0")</f>
        <v>3 733 000</v>
      </c>
      <c r="M23" s="13" t="s">
        <v>62</v>
      </c>
      <c r="N23" s="14" t="str">
        <f>IF(ISNUMBER(Data!N9)=TRUE,TEXT(Data!N9,"### ### ###"),0)</f>
        <v>540 000</v>
      </c>
      <c r="O23" s="14" t="str">
        <f>IF(ISNUMBER(Data!O9)=TRUE,TEXT(Data!O9,"### ### ###"),0)</f>
        <v>6 557 000</v>
      </c>
      <c r="P23" s="14" t="str">
        <f>IF(ISNUMBER(Data!P9)=TRUE,TEXT(Data!P9,"### ### ###"),0)</f>
        <v>-12 511 000</v>
      </c>
      <c r="Q23" s="15" t="str">
        <f>IF(ISNUMBER(Data!Q9)=TRUE,TEXT(Data!Q9,"### ### ###"),0)</f>
        <v>-14 417 000</v>
      </c>
    </row>
    <row r="24" spans="1:17" x14ac:dyDescent="0.3">
      <c r="A24" s="13" t="s">
        <v>17</v>
      </c>
      <c r="B24" s="14" t="str">
        <f>IF(ISNUMBER(Data!B10)=TRUE,TEXT(Data!B10,"### ### ### ###"),"0")</f>
        <v>42 959 000</v>
      </c>
      <c r="C24" s="14" t="str">
        <f>IF(ISNUMBER(Data!C10)=TRUE,TEXT(Data!C10,"### ### ### ###"),"0")</f>
        <v>35 058 000</v>
      </c>
      <c r="D24" s="14" t="str">
        <f>IF(ISNUMBER(Data!D10)=TRUE,TEXT(Data!D10,"### ### ### ###"),"0")</f>
        <v>29 331 000</v>
      </c>
      <c r="E24" s="15" t="str">
        <f>IF(ISNUMBER(Data!E10)=TRUE,TEXT(Data!E10,"### ### ### ###"),"0")</f>
        <v>27 188 000</v>
      </c>
      <c r="G24" s="13" t="s">
        <v>34</v>
      </c>
      <c r="H24" s="14" t="str">
        <f>IF(ISNUMBER(Data!H11)=TRUE,TEXT(Data!H11,"### ### ###"),"0")</f>
        <v>0</v>
      </c>
      <c r="I24" s="14" t="str">
        <f>IF(ISNUMBER(Data!I11)=TRUE,TEXT(Data!I11,"### ### ###"),"0")</f>
        <v>0</v>
      </c>
      <c r="J24" s="14" t="str">
        <f>IF(ISNUMBER(Data!J11)=TRUE,TEXT(Data!J11,"### ### ###"),"0")</f>
        <v>0</v>
      </c>
      <c r="K24" s="15" t="str">
        <f>IF(ISNUMBER(Data!K11)=TRUE,TEXT(Data!K11,"### ### ###"),"0")</f>
        <v>0</v>
      </c>
      <c r="M24" s="13" t="s">
        <v>63</v>
      </c>
      <c r="N24" s="14">
        <f>IF(ISNUMBER(Data!N10)=TRUE,TEXT(Data!N10,"### ### ###"),0)</f>
        <v>0</v>
      </c>
      <c r="O24" s="14" t="str">
        <f>IF(ISNUMBER(Data!O10)=TRUE,TEXT(Data!O10,"### ### ###"),0)</f>
        <v>-98 000</v>
      </c>
      <c r="P24" s="14" t="str">
        <f>IF(ISNUMBER(Data!P10)=TRUE,TEXT(Data!P10,"### ### ###"),0)</f>
        <v>-197 000</v>
      </c>
      <c r="Q24" s="15" t="str">
        <f>IF(ISNUMBER(Data!Q10)=TRUE,TEXT(Data!Q10,"### ### ###"),0)</f>
        <v>203 000</v>
      </c>
    </row>
    <row r="25" spans="1:17" x14ac:dyDescent="0.3">
      <c r="A25" s="13" t="s">
        <v>18</v>
      </c>
      <c r="B25" s="14" t="str">
        <f>IF(ISNUMBER(Data!B11)=TRUE,TEXT(Data!B11,"### ### ### ###"),"0")</f>
        <v>-2 686 000</v>
      </c>
      <c r="C25" s="14" t="str">
        <f>IF(ISNUMBER(Data!C11)=TRUE,TEXT(Data!C11,"### ### ### ###"),"0")</f>
        <v>-2 733 000</v>
      </c>
      <c r="D25" s="14" t="str">
        <f>IF(ISNUMBER(Data!D11)=TRUE,TEXT(Data!D11,"### ### ### ###"),"0")</f>
        <v>-2 222 000</v>
      </c>
      <c r="E25" s="15" t="str">
        <f>IF(ISNUMBER(Data!E11)=TRUE,TEXT(Data!E11,"### ### ### ###"),"0")</f>
        <v>-1 243 000</v>
      </c>
      <c r="G25" s="13" t="s">
        <v>35</v>
      </c>
      <c r="H25" s="14" t="str">
        <f>IF(ISNUMBER(Data!H12)=TRUE,TEXT(Data!H12,"### ### ###"),"0")</f>
        <v>14 723 000</v>
      </c>
      <c r="I25" s="14" t="str">
        <f>IF(ISNUMBER(Data!I12)=TRUE,TEXT(Data!I12,"### ### ###"),"0")</f>
        <v>7 442 000</v>
      </c>
      <c r="J25" s="14" t="str">
        <f>IF(ISNUMBER(Data!J12)=TRUE,TEXT(Data!J12,"### ### ###"),"0")</f>
        <v>6 076 000</v>
      </c>
      <c r="K25" s="15" t="str">
        <f>IF(ISNUMBER(Data!K12)=TRUE,TEXT(Data!K12,"### ### ###"),"0")</f>
        <v>3 409 000</v>
      </c>
      <c r="M25" s="27" t="s">
        <v>70</v>
      </c>
      <c r="N25" s="28" t="str">
        <f>IF(ISNUMBER(Data!N18)=TRUE,TEXT(Data!N18,"### ### ###"),0)</f>
        <v>-15 773 000</v>
      </c>
      <c r="O25" s="28" t="str">
        <f>IF(ISNUMBER(Data!O18)=TRUE,TEXT(Data!O18,"### ### ###"),0)</f>
        <v>-6 061 000</v>
      </c>
      <c r="P25" s="28" t="str">
        <f>IF(ISNUMBER(Data!P18)=TRUE,TEXT(Data!P18,"### ### ###"),0)</f>
        <v>-46 781 000</v>
      </c>
      <c r="Q25" s="29" t="str">
        <f>IF(ISNUMBER(Data!Q18)=TRUE,TEXT(Data!Q18,"### ### ###"),0)</f>
        <v>-23 950 000</v>
      </c>
    </row>
    <row r="26" spans="1:17" x14ac:dyDescent="0.3">
      <c r="A26" s="13" t="s">
        <v>19</v>
      </c>
      <c r="B26" s="14" t="str">
        <f>IF(ISNUMBER(Data!B12)=TRUE,TEXT(Data!B12,"### ### ### ###"),"0")</f>
        <v>43 688 000</v>
      </c>
      <c r="C26" s="14" t="str">
        <f>IF(ISNUMBER(Data!C12)=TRUE,TEXT(Data!C12,"### ### ### ###"),"0")</f>
        <v>36 474 000</v>
      </c>
      <c r="D26" s="14" t="str">
        <f>IF(ISNUMBER(Data!D12)=TRUE,TEXT(Data!D12,"### ### ### ###"),"0")</f>
        <v>29 901 000</v>
      </c>
      <c r="E26" s="15" t="str">
        <f>IF(ISNUMBER(Data!E12)=TRUE,TEXT(Data!E12,"### ### ### ###"),"0")</f>
        <v>25 639 000</v>
      </c>
      <c r="G26" s="13" t="s">
        <v>36</v>
      </c>
      <c r="H26" s="14" t="str">
        <f>IF(ISNUMBER(Data!H13)=TRUE,TEXT(Data!H13,"### ### ###"),"0")</f>
        <v>7 536 000</v>
      </c>
      <c r="I26" s="14" t="str">
        <f>IF(ISNUMBER(Data!I13)=TRUE,TEXT(Data!I13,"### ### ###"),"0")</f>
        <v>1 369 000</v>
      </c>
      <c r="J26" s="14" t="str">
        <f>IF(ISNUMBER(Data!J13)=TRUE,TEXT(Data!J13,"### ### ###"),"0")</f>
        <v>248 000</v>
      </c>
      <c r="K26" s="15" t="str">
        <f>IF(ISNUMBER(Data!K13)=TRUE,TEXT(Data!K13,"### ### ###"),"0")</f>
        <v>219 000</v>
      </c>
      <c r="M26" s="13" t="s">
        <v>64</v>
      </c>
      <c r="N26" s="14" t="str">
        <f>IF(ISNUMBER(Data!N11)=TRUE,TEXT(Data!N11,"### ### ###"),0)</f>
        <v>-13 811 000</v>
      </c>
      <c r="O26" s="14" t="str">
        <f>IF(ISNUMBER(Data!O11)=TRUE,TEXT(Data!O11,"### ### ###"),0)</f>
        <v>-12 699 000</v>
      </c>
      <c r="P26" s="14" t="str">
        <f>IF(ISNUMBER(Data!P11)=TRUE,TEXT(Data!P11,"### ### ###"),0)</f>
        <v>-11 845 000</v>
      </c>
      <c r="Q26" s="15" t="str">
        <f>IF(ISNUMBER(Data!Q11)=TRUE,TEXT(Data!Q11,"### ### ###"),0)</f>
        <v>-11 006 000</v>
      </c>
    </row>
    <row r="27" spans="1:17" ht="15" thickBot="1" x14ac:dyDescent="0.35">
      <c r="A27" s="13" t="s">
        <v>20</v>
      </c>
      <c r="B27" s="14" t="str">
        <f>IF(ISNUMBER(Data!B13)=TRUE,TEXT(Data!B13,"### ### ### ###"),"0")</f>
        <v>4 448 000</v>
      </c>
      <c r="C27" s="14" t="str">
        <f>IF(ISNUMBER(Data!C13)=TRUE,TEXT(Data!C13,"### ### ### ###"),"0")</f>
        <v>19 903 000</v>
      </c>
      <c r="D27" s="14" t="str">
        <f>IF(ISNUMBER(Data!D13)=TRUE,TEXT(Data!D13,"### ### ### ###"),"0")</f>
        <v>4 412 000</v>
      </c>
      <c r="E27" s="15" t="str">
        <f>IF(ISNUMBER(Data!E13)=TRUE,TEXT(Data!E13,"### ### ### ###"),"0")</f>
        <v>5 100 000</v>
      </c>
      <c r="G27" s="26" t="s">
        <v>74</v>
      </c>
      <c r="H27" s="21" t="str">
        <f>IF(ISNUMBER(Data!H32)=TRUE,TEXT(Data!H32,"### ### ###"),"0")</f>
        <v>286 556 000</v>
      </c>
      <c r="I27" s="21" t="str">
        <f>IF(ISNUMBER(Data!I32)=TRUE,TEXT(Data!I32,"### ### ###"),"0")</f>
        <v>258 848 000</v>
      </c>
      <c r="J27" s="21" t="str">
        <f>IF(ISNUMBER(Data!J32)=TRUE,TEXT(Data!J32,"### ### ###"),"0")</f>
        <v>250 312 000</v>
      </c>
      <c r="K27" s="22" t="str">
        <f>IF(ISNUMBER(Data!K32)=TRUE,TEXT(Data!K32,"### ### ###"),"0")</f>
        <v>193 468 000</v>
      </c>
      <c r="M27" s="13" t="s">
        <v>65</v>
      </c>
      <c r="N27" s="14">
        <f>IF(ISNUMBER(Data!N12)=TRUE,TEXT(Data!N12,"### ### ###"),0)</f>
        <v>0</v>
      </c>
      <c r="O27" s="14">
        <f>IF(ISNUMBER(Data!O12)=TRUE,TEXT(Data!O12,"### ### ###"),0)</f>
        <v>0</v>
      </c>
      <c r="P27" s="14">
        <f>IF(ISNUMBER(Data!P12)=TRUE,TEXT(Data!P12,"### ### ###"),0)</f>
        <v>0</v>
      </c>
      <c r="Q27" s="15">
        <f>IF(ISNUMBER(Data!Q12)=TRUE,TEXT(Data!Q12,"### ### ###"),0)</f>
        <v>0</v>
      </c>
    </row>
    <row r="28" spans="1:17" x14ac:dyDescent="0.3">
      <c r="A28" s="19" t="s">
        <v>78</v>
      </c>
      <c r="B28" s="14" t="str">
        <f>IF(ISNUMBER(Data!B14)=TRUE,TEXT(Data!B14,"### ### ### ###"),"0")</f>
        <v>0</v>
      </c>
      <c r="C28" s="14" t="str">
        <f>IF(ISNUMBER(Data!C14)=TRUE,TEXT(Data!C14,"### ### ### ###"),"0")</f>
        <v>0</v>
      </c>
      <c r="D28" s="14" t="str">
        <f>IF(ISNUMBER(Data!D14)=TRUE,TEXT(Data!D14,"### ### ### ###"),"0")</f>
        <v>0</v>
      </c>
      <c r="E28" s="15" t="str">
        <f>IF(ISNUMBER(Data!E14)=TRUE,TEXT(Data!E14,"### ### ### ###"),"0")</f>
        <v>0</v>
      </c>
      <c r="G28" s="13"/>
      <c r="H28" s="14"/>
      <c r="I28" s="14"/>
      <c r="J28" s="14"/>
      <c r="K28" s="15"/>
      <c r="M28" s="13" t="s">
        <v>66</v>
      </c>
      <c r="N28" s="14" t="str">
        <f>IF(ISNUMBER(Data!N13)=TRUE,TEXT(Data!N13,"### ### ###"),0)</f>
        <v>-4 000 000</v>
      </c>
      <c r="O28" s="14" t="str">
        <f>IF(ISNUMBER(Data!O13)=TRUE,TEXT(Data!O13,"### ### ###"),0)</f>
        <v>-10 201 000</v>
      </c>
      <c r="P28" s="14" t="str">
        <f>IF(ISNUMBER(Data!P13)=TRUE,TEXT(Data!P13,"### ### ###"),0)</f>
        <v>31 459 000</v>
      </c>
      <c r="Q28" s="15" t="str">
        <f>IF(ISNUMBER(Data!Q13)=TRUE,TEXT(Data!Q13,"### ### ###"),0)</f>
        <v>18 283 000</v>
      </c>
    </row>
    <row r="29" spans="1:17" ht="15" thickBot="1" x14ac:dyDescent="0.35">
      <c r="A29" s="20" t="s">
        <v>22</v>
      </c>
      <c r="B29" s="21" t="str">
        <f>IF(ISNUMBER(Data!B18)=TRUE,TEXT(Data!B18,"### ### ###"),"0")</f>
        <v>39 240 000</v>
      </c>
      <c r="C29" s="21" t="str">
        <f>IF(ISNUMBER(Data!C18)=TRUE,TEXT(Data!C18,"### ### ###"),"0")</f>
        <v>16 571 000</v>
      </c>
      <c r="D29" s="21" t="str">
        <f>IF(ISNUMBER(Data!D18)=TRUE,TEXT(Data!D18,"### ### ###"),"0")</f>
        <v>25 489 000</v>
      </c>
      <c r="E29" s="22" t="str">
        <f>IF(ISNUMBER(Data!E18)=TRUE,TEXT(Data!E18,"### ### ###"),"0")</f>
        <v>20 539 000</v>
      </c>
      <c r="G29" s="13" t="s">
        <v>37</v>
      </c>
      <c r="H29" s="14" t="str">
        <f>IF(ISNUMBER(Data!H14)=TRUE,TEXT(Data!H14,"### ### ###"),"0")</f>
        <v>9 382 000</v>
      </c>
      <c r="I29" s="14" t="str">
        <f>IF(ISNUMBER(Data!I14)=TRUE,TEXT(Data!I14,"### ### ###"),"0")</f>
        <v>8 617 000</v>
      </c>
      <c r="J29" s="14" t="str">
        <f>IF(ISNUMBER(Data!J14)=TRUE,TEXT(Data!J14,"### ### ###"),"0")</f>
        <v>7 390 000</v>
      </c>
      <c r="K29" s="15" t="str">
        <f>IF(ISNUMBER(Data!K14)=TRUE,TEXT(Data!K14,"### ### ###"),"0")</f>
        <v>6 898 000</v>
      </c>
      <c r="M29" s="13" t="s">
        <v>67</v>
      </c>
      <c r="N29" s="14" t="str">
        <f>IF(ISNUMBER(Data!N14)=TRUE,TEXT(Data!N14,"### ### ###"),0)</f>
        <v>-675 000</v>
      </c>
      <c r="O29" s="14" t="str">
        <f>IF(ISNUMBER(Data!O14)=TRUE,TEXT(Data!O14,"### ### ###"),0)</f>
        <v>-971 000</v>
      </c>
      <c r="P29" s="14" t="str">
        <f>IF(ISNUMBER(Data!P14)=TRUE,TEXT(Data!P14,"### ### ###"),0)</f>
        <v>-190 000</v>
      </c>
      <c r="Q29" s="15" t="str">
        <f>IF(ISNUMBER(Data!Q14)=TRUE,TEXT(Data!Q14,"### ### ###"),0)</f>
        <v>-369 000</v>
      </c>
    </row>
    <row r="30" spans="1:17" x14ac:dyDescent="0.3">
      <c r="G30" s="13" t="s">
        <v>38</v>
      </c>
      <c r="H30" s="14" t="str">
        <f>IF(ISNUMBER(Data!H15)=TRUE,TEXT(Data!H15,"### ### ###"),"0")</f>
        <v>5 516 000</v>
      </c>
      <c r="I30" s="14" t="str">
        <f>IF(ISNUMBER(Data!I15)=TRUE,TEXT(Data!I15,"### ### ###"),"0")</f>
        <v>3 998 000</v>
      </c>
      <c r="J30" s="14" t="str">
        <f>IF(ISNUMBER(Data!J15)=TRUE,TEXT(Data!J15,"### ### ###"),"0")</f>
        <v>1 049 000</v>
      </c>
      <c r="K30" s="15" t="str">
        <f>IF(ISNUMBER(Data!K15)=TRUE,TEXT(Data!K15,"### ### ###"),"0")</f>
        <v>0</v>
      </c>
      <c r="M30" s="27" t="s">
        <v>71</v>
      </c>
      <c r="N30" s="28" t="str">
        <f>IF(ISNUMBER(Data!N19)=TRUE,TEXT(Data!N19,"### ### ###"),0)</f>
        <v>-36 887 000</v>
      </c>
      <c r="O30" s="28" t="str">
        <f>IF(ISNUMBER(Data!O19)=TRUE,TEXT(Data!O19,"### ### ###"),0)</f>
        <v>-33 590 000</v>
      </c>
      <c r="P30" s="28" t="str">
        <f>IF(ISNUMBER(Data!P19)=TRUE,TEXT(Data!P19,"### ### ###"),0)</f>
        <v>8 408 000</v>
      </c>
      <c r="Q30" s="29" t="str">
        <f>IF(ISNUMBER(Data!Q19)=TRUE,TEXT(Data!Q19,"### ### ###"),0)</f>
        <v>-8 393 000</v>
      </c>
    </row>
    <row r="31" spans="1:17" x14ac:dyDescent="0.3">
      <c r="G31" s="13" t="s">
        <v>39</v>
      </c>
      <c r="H31" s="14" t="str">
        <f>IF(ISNUMBER(Data!H16)=TRUE,TEXT(Data!H16,"### ### ###"),"0")</f>
        <v>45 860 000</v>
      </c>
      <c r="I31" s="14" t="str">
        <f>IF(ISNUMBER(Data!I16)=TRUE,TEXT(Data!I16,"### ### ###"),"0")</f>
        <v>38 195 000</v>
      </c>
      <c r="J31" s="14" t="str">
        <f>IF(ISNUMBER(Data!J16)=TRUE,TEXT(Data!J16,"### ### ###"),"0")</f>
        <v>30 879 000</v>
      </c>
      <c r="K31" s="15" t="str">
        <f>IF(ISNUMBER(Data!K16)=TRUE,TEXT(Data!K16,"### ### ###"),"0")</f>
        <v>33 972 000</v>
      </c>
      <c r="M31" s="13" t="s">
        <v>68</v>
      </c>
      <c r="N31" s="14" t="str">
        <f>IF(ISNUMBER(Data!N15)=TRUE,TEXT(Data!N15,"### ### ###"),0)</f>
        <v>-115 000</v>
      </c>
      <c r="O31" s="14" t="str">
        <f>IF(ISNUMBER(Data!O15)=TRUE,TEXT(Data!O15,"### ### ###"),0)</f>
        <v>50 000</v>
      </c>
      <c r="P31" s="14" t="str">
        <f>IF(ISNUMBER(Data!P15)=TRUE,TEXT(Data!P15,"### ### ###"),0)</f>
        <v>19 000</v>
      </c>
      <c r="Q31" s="15" t="str">
        <f>IF(ISNUMBER(Data!Q15)=TRUE,TEXT(Data!Q15,"### ### ###"),0)</f>
        <v>-67 000</v>
      </c>
    </row>
    <row r="32" spans="1:17" x14ac:dyDescent="0.3">
      <c r="G32" s="24" t="s">
        <v>75</v>
      </c>
      <c r="H32" s="17" t="str">
        <f>IF(ISNUMBER(Data!H33)=TRUE,TEXT(Data!H33,"### ### ###"),"0")</f>
        <v>69 420 000</v>
      </c>
      <c r="I32" s="17" t="str">
        <f>IF(ISNUMBER(Data!I33)=TRUE,TEXT(Data!I33,"### ### ###"),"0")</f>
        <v>58 488 000</v>
      </c>
      <c r="J32" s="17" t="str">
        <f>IF(ISNUMBER(Data!J33)=TRUE,TEXT(Data!J33,"### ### ###"),"0")</f>
        <v>55 745 000</v>
      </c>
      <c r="K32" s="18" t="str">
        <f>IF(ISNUMBER(Data!K33)=TRUE,TEXT(Data!K33,"### ### ###"),"0")</f>
        <v>59 357 000</v>
      </c>
      <c r="M32" s="16" t="s">
        <v>72</v>
      </c>
      <c r="N32" s="17" t="str">
        <f>TEXT(N21+N25+N30+N31,"### ### ###")</f>
        <v>-590 000</v>
      </c>
      <c r="O32" s="17" t="str">
        <f>TEXT(O21+O25+O30+O31,"### ### ###")</f>
        <v>4 283 000</v>
      </c>
      <c r="P32" s="17" t="str">
        <f>TEXT(P21+P25+P30+P31,"### ### ###")</f>
        <v>1 153 000</v>
      </c>
      <c r="Q32" s="18" t="str">
        <f>TEXT(Q21+Q25+Q30+Q31,"### ### ###")</f>
        <v>915 000</v>
      </c>
    </row>
    <row r="33" spans="7:12" x14ac:dyDescent="0.3">
      <c r="G33" s="13" t="s">
        <v>40</v>
      </c>
      <c r="H33" s="14" t="str">
        <f>IF(ISNUMBER(Data!H17)=TRUE,TEXT(Data!H17,"### ### ###"),"0")</f>
        <v>66 662 000</v>
      </c>
      <c r="I33" s="14" t="str">
        <f>IF(ISNUMBER(Data!I17)=TRUE,TEXT(Data!I17,"### ### ###"),"0")</f>
        <v>72 242 000</v>
      </c>
      <c r="J33" s="14" t="str">
        <f>IF(ISNUMBER(Data!J17)=TRUE,TEXT(Data!J17,"### ### ###"),"0")</f>
        <v>76 073 000</v>
      </c>
      <c r="K33" s="15" t="str">
        <f>IF(ISNUMBER(Data!K17)=TRUE,TEXT(Data!K17,"### ### ###"),"0")</f>
        <v>40 557 000</v>
      </c>
    </row>
    <row r="34" spans="7:12" x14ac:dyDescent="0.3">
      <c r="G34" s="13" t="s">
        <v>41</v>
      </c>
      <c r="H34" s="14" t="str">
        <f>IF(ISNUMBER(Data!H18)=TRUE,TEXT(Data!H18,"### ### ###"),"0")</f>
        <v>35 699 000</v>
      </c>
      <c r="I34" s="14" t="str">
        <f>IF(ISNUMBER(Data!I18)=TRUE,TEXT(Data!I18,"### ### ###"),"0")</f>
        <v>35 707 000</v>
      </c>
      <c r="J34" s="14" t="str">
        <f>IF(ISNUMBER(Data!J18)=TRUE,TEXT(Data!J18,"### ### ###"),"0")</f>
        <v>22 986 000</v>
      </c>
      <c r="K34" s="15" t="str">
        <f>IF(ISNUMBER(Data!K18)=TRUE,TEXT(Data!K18,"### ### ###"),"0")</f>
        <v>20 796 000</v>
      </c>
    </row>
    <row r="35" spans="7:12" x14ac:dyDescent="0.3">
      <c r="G35" s="13" t="s">
        <v>42</v>
      </c>
      <c r="H35" s="14" t="str">
        <f>IF(ISNUMBER(Data!H19)=TRUE,TEXT(Data!H19,"### ### ###"),"0")</f>
        <v>0</v>
      </c>
      <c r="I35" s="14" t="str">
        <f>IF(ISNUMBER(Data!I19)=TRUE,TEXT(Data!I19,"### ### ###"),"0")</f>
        <v>0</v>
      </c>
      <c r="J35" s="14" t="str">
        <f>IF(ISNUMBER(Data!J19)=TRUE,TEXT(Data!J19,"### ### ###"),"0")</f>
        <v>0</v>
      </c>
      <c r="K35" s="15" t="str">
        <f>IF(ISNUMBER(Data!K19)=TRUE,TEXT(Data!K19,"### ### ###"),"0")</f>
        <v>0</v>
      </c>
    </row>
    <row r="36" spans="7:12" x14ac:dyDescent="0.3">
      <c r="G36" s="13" t="s">
        <v>43</v>
      </c>
      <c r="H36" s="14" t="str">
        <f>IF(ISNUMBER(Data!H20)=TRUE,TEXT(Data!H20,"### ### ###"),"0")</f>
        <v>0</v>
      </c>
      <c r="I36" s="14" t="str">
        <f>IF(ISNUMBER(Data!I20)=TRUE,TEXT(Data!I20,"### ### ###"),"0")</f>
        <v>0</v>
      </c>
      <c r="J36" s="14" t="str">
        <f>IF(ISNUMBER(Data!J20)=TRUE,TEXT(Data!J20,"### ### ###"),"0")</f>
        <v>0</v>
      </c>
      <c r="K36" s="15" t="str">
        <f>IF(ISNUMBER(Data!K20)=TRUE,TEXT(Data!K20,"### ### ###"),"0")</f>
        <v>0</v>
      </c>
    </row>
    <row r="37" spans="7:12" x14ac:dyDescent="0.3">
      <c r="G37" s="13" t="s">
        <v>44</v>
      </c>
      <c r="H37" s="14" t="str">
        <f>IF(ISNUMBER(Data!H21)=TRUE,TEXT(Data!H21,"### ### ###"),"0")</f>
        <v>0</v>
      </c>
      <c r="I37" s="14" t="str">
        <f>IF(ISNUMBER(Data!I21)=TRUE,TEXT(Data!I21,"### ### ###"),"0")</f>
        <v>0</v>
      </c>
      <c r="J37" s="14" t="str">
        <f>IF(ISNUMBER(Data!J21)=TRUE,TEXT(Data!J21,"### ### ###"),"0")</f>
        <v>0</v>
      </c>
      <c r="K37" s="15" t="str">
        <f>IF(ISNUMBER(Data!K21)=TRUE,TEXT(Data!K21,"### ### ###"),"0")</f>
        <v>0</v>
      </c>
    </row>
    <row r="38" spans="7:12" ht="15" thickBot="1" x14ac:dyDescent="0.35">
      <c r="G38" s="26" t="s">
        <v>76</v>
      </c>
      <c r="H38" s="21" t="str">
        <f>IF(ISNUMBER(Data!H34)=TRUE,TEXT(Data!H34,"### ### ###"),"0")</f>
        <v>184 226 000</v>
      </c>
      <c r="I38" s="21" t="str">
        <f>IF(ISNUMBER(Data!I34)=TRUE,TEXT(Data!I34,"### ### ###"),"0")</f>
        <v>176 130 000</v>
      </c>
      <c r="J38" s="21" t="str">
        <f>IF(ISNUMBER(Data!J34)=TRUE,TEXT(Data!J34,"### ### ###"),"0")</f>
        <v>162 601 000</v>
      </c>
      <c r="K38" s="22" t="str">
        <f>IF(ISNUMBER(Data!K34)=TRUE,TEXT(Data!K34,"### ### ###"),"0")</f>
        <v>121 471 000</v>
      </c>
    </row>
    <row r="39" spans="7:12" x14ac:dyDescent="0.3">
      <c r="G39" s="13" t="s">
        <v>45</v>
      </c>
      <c r="H39" s="14" t="str">
        <f>IF(ISNUMBER(Data!H22)=TRUE,TEXT(Data!H22,"### ### ###"),"0")</f>
        <v>0</v>
      </c>
      <c r="I39" s="14" t="str">
        <f>IF(ISNUMBER(Data!I22)=TRUE,TEXT(Data!I22,"### ### ###"),"0")</f>
        <v>0</v>
      </c>
      <c r="J39" s="14" t="str">
        <f>IF(ISNUMBER(Data!J22)=TRUE,TEXT(Data!J22,"### ### ###"),"0")</f>
        <v>0</v>
      </c>
      <c r="K39" s="15" t="str">
        <f>IF(ISNUMBER(Data!K22)=TRUE,TEXT(Data!K22,"### ### ###"),"0")</f>
        <v>0</v>
      </c>
      <c r="L39" s="32"/>
    </row>
    <row r="40" spans="7:12" x14ac:dyDescent="0.3">
      <c r="G40" s="13" t="s">
        <v>46</v>
      </c>
      <c r="H40" s="14" t="str">
        <f>IF(ISNUMBER(Data!H23)=TRUE,TEXT(Data!H23,"### ### ###"),"0")</f>
        <v>0</v>
      </c>
      <c r="I40" s="14" t="str">
        <f>IF(ISNUMBER(Data!I23)=TRUE,TEXT(Data!I23,"### ### ###"),"0")</f>
        <v>0</v>
      </c>
      <c r="J40" s="14" t="str">
        <f>IF(ISNUMBER(Data!J23)=TRUE,TEXT(Data!J23,"### ### ###"),"0")</f>
        <v>0</v>
      </c>
      <c r="K40" s="15" t="str">
        <f>IF(ISNUMBER(Data!K23)=TRUE,TEXT(Data!K23,"### ### ###"),"0")</f>
        <v>0</v>
      </c>
    </row>
    <row r="41" spans="7:12" x14ac:dyDescent="0.3">
      <c r="G41" s="13" t="s">
        <v>47</v>
      </c>
      <c r="H41" s="14" t="str">
        <f>IF(ISNUMBER(Data!H24)=TRUE,TEXT(Data!H24,"### ### ###"),"0")</f>
        <v>0</v>
      </c>
      <c r="I41" s="14" t="str">
        <f>IF(ISNUMBER(Data!I24)=TRUE,TEXT(Data!I24,"### ### ###"),"0")</f>
        <v>0</v>
      </c>
      <c r="J41" s="14" t="str">
        <f>IF(ISNUMBER(Data!J24)=TRUE,TEXT(Data!J24,"### ### ###"),"0")</f>
        <v>0</v>
      </c>
      <c r="K41" s="15" t="str">
        <f>IF(ISNUMBER(Data!K24)=TRUE,TEXT(Data!K24,"### ### ###"),"0")</f>
        <v>0</v>
      </c>
    </row>
    <row r="42" spans="7:12" x14ac:dyDescent="0.3">
      <c r="G42" s="13" t="s">
        <v>48</v>
      </c>
      <c r="H42" s="14" t="str">
        <f>IF(ISNUMBER(Data!H25)=TRUE,TEXT(Data!H25,"### ### ###"),"0")</f>
        <v>78 520 000</v>
      </c>
      <c r="I42" s="14" t="str">
        <f>IF(ISNUMBER(Data!I25)=TRUE,TEXT(Data!I25,"### ### ###"),"0")</f>
        <v>71 223 000</v>
      </c>
      <c r="J42" s="14" t="str">
        <f>IF(ISNUMBER(Data!J25)=TRUE,TEXT(Data!J25,"### ### ###"),"0")</f>
        <v>69 315 000</v>
      </c>
      <c r="K42" s="15" t="str">
        <f>IF(ISNUMBER(Data!K25)=TRUE,TEXT(Data!K25,"### ### ###"),"0")</f>
        <v>68 178 000</v>
      </c>
      <c r="L42" s="32"/>
    </row>
    <row r="43" spans="7:12" x14ac:dyDescent="0.3">
      <c r="G43" s="13" t="s">
        <v>49</v>
      </c>
      <c r="H43" s="14" t="str">
        <f>IF(ISNUMBER(Data!H26)=TRUE,TEXT(Data!H26,"### ### ###"),"0")</f>
        <v>24 150 000</v>
      </c>
      <c r="I43" s="14" t="str">
        <f>IF(ISNUMBER(Data!I26)=TRUE,TEXT(Data!I26,"### ### ###"),"0")</f>
        <v>13 682 000</v>
      </c>
      <c r="J43" s="14" t="str">
        <f>IF(ISNUMBER(Data!J26)=TRUE,TEXT(Data!J26,"### ### ###"),"0")</f>
        <v>17 769 000</v>
      </c>
      <c r="K43" s="15" t="str">
        <f>IF(ISNUMBER(Data!K26)=TRUE,TEXT(Data!K26,"### ### ###"),"0")</f>
        <v>2 282 000</v>
      </c>
    </row>
    <row r="44" spans="7:12" x14ac:dyDescent="0.3">
      <c r="G44" s="13" t="s">
        <v>50</v>
      </c>
      <c r="H44" s="14" t="str">
        <f>IF(ISNUMBER(Data!H27)=TRUE,TEXT(Data!H27,"### ### ###"),"0")</f>
        <v>-340 000</v>
      </c>
      <c r="I44" s="14" t="str">
        <f>IF(ISNUMBER(Data!I27)=TRUE,TEXT(Data!I27,"### ### ###"),"0")</f>
        <v>-2 187 000</v>
      </c>
      <c r="J44" s="14" t="str">
        <f>IF(ISNUMBER(Data!J27)=TRUE,TEXT(Data!J27,"### ### ###"),"0")</f>
        <v>627 000</v>
      </c>
      <c r="K44" s="15" t="str">
        <f>IF(ISNUMBER(Data!K27)=TRUE,TEXT(Data!K27,"### ### ###"),"0")</f>
        <v>1 537 000</v>
      </c>
    </row>
    <row r="45" spans="7:12" x14ac:dyDescent="0.3">
      <c r="G45" s="13" t="s">
        <v>51</v>
      </c>
      <c r="H45" s="14" t="str">
        <f>IF(ISNUMBER(Data!H28)=TRUE,TEXT(Data!H28,"### ### ###"),"0")</f>
        <v>0</v>
      </c>
      <c r="I45" s="14" t="str">
        <f>IF(ISNUMBER(Data!I28)=TRUE,TEXT(Data!I28,"### ### ###"),"0")</f>
        <v>0</v>
      </c>
      <c r="J45" s="14" t="str">
        <f>IF(ISNUMBER(Data!J28)=TRUE,TEXT(Data!J28,"### ### ###"),"0")</f>
        <v>0</v>
      </c>
      <c r="K45" s="15" t="str">
        <f>IF(ISNUMBER(Data!K28)=TRUE,TEXT(Data!K28,"### ### ###"),"0")</f>
        <v>0</v>
      </c>
    </row>
    <row r="46" spans="7:12" x14ac:dyDescent="0.3">
      <c r="G46" s="13" t="s">
        <v>52</v>
      </c>
      <c r="H46" s="14" t="str">
        <f>IF(ISNUMBER(Data!H29)=TRUE,TEXT(Data!H29,"### ### ###"),"0")</f>
        <v>-340 000</v>
      </c>
      <c r="I46" s="14" t="str">
        <f>IF(ISNUMBER(Data!I29)=TRUE,TEXT(Data!I29,"### ### ###"),"0")</f>
        <v>-2 187 000</v>
      </c>
      <c r="J46" s="14" t="str">
        <f>IF(ISNUMBER(Data!J29)=TRUE,TEXT(Data!J29,"### ### ###"),"0")</f>
        <v>627 000</v>
      </c>
      <c r="K46" s="15" t="str">
        <f>IF(ISNUMBER(Data!K29)=TRUE,TEXT(Data!K29,"### ### ###"),"0")</f>
        <v>1 537 000</v>
      </c>
    </row>
    <row r="47" spans="7:12" ht="15" thickBot="1" x14ac:dyDescent="0.35">
      <c r="G47" s="26" t="s">
        <v>53</v>
      </c>
      <c r="H47" s="21" t="str">
        <f>IF(ISNUMBER(Data!H30)=TRUE,TEXT(Data!H30,"### ### ###"),"0")</f>
        <v>102 330 000</v>
      </c>
      <c r="I47" s="21" t="str">
        <f>IF(ISNUMBER(Data!I30)=TRUE,TEXT(Data!I30,"### ### ###"),"0")</f>
        <v>82 718 000</v>
      </c>
      <c r="J47" s="21" t="str">
        <f>IF(ISNUMBER(Data!J30)=TRUE,TEXT(Data!J30,"### ### ###"),"0")</f>
        <v>87 711 000</v>
      </c>
      <c r="K47" s="22" t="str">
        <f>IF(ISNUMBER(Data!K30)=TRUE,TEXT(Data!K30,"### ### ###"),"0")</f>
        <v>71 997 000</v>
      </c>
    </row>
    <row r="48" spans="7:12" x14ac:dyDescent="0.3">
      <c r="G48" s="16" t="s">
        <v>77</v>
      </c>
      <c r="H48" s="17" t="str">
        <f>IF(ISNUMBER(Data!H35)=TRUE,TEXT(Data!H35,"### ### ###"),"0")</f>
        <v>52 554 000</v>
      </c>
      <c r="I48" s="17" t="str">
        <f>IF(ISNUMBER(Data!I35)=TRUE,TEXT(Data!I35,"### ### ###"),"0")</f>
        <v>38 982 000</v>
      </c>
      <c r="J48" s="17" t="str">
        <f>IF(ISNUMBER(Data!J35)=TRUE,TEXT(Data!J35,"### ### ###"),"0")</f>
        <v>42 483 000</v>
      </c>
      <c r="K48" s="18" t="str">
        <f>IF(ISNUMBER(Data!K35)=TRUE,TEXT(Data!K35,"### ### ###"),"0")</f>
        <v>50 392 000</v>
      </c>
    </row>
  </sheetData>
  <sheetProtection password="CE28" sheet="1" objects="1" scenarios="1"/>
  <conditionalFormatting sqref="A29 A22 A16 A13:E15 A17:E21 A23:E28 G13:K48 M13:Q32 B29:E29">
    <cfRule type="expression" dxfId="24" priority="25">
      <formula>MOD(ROW(),2)=1</formula>
    </cfRule>
  </conditionalFormatting>
  <conditionalFormatting sqref="B22">
    <cfRule type="expression" dxfId="23" priority="20">
      <formula>MOD(ROW(),2)=1</formula>
    </cfRule>
  </conditionalFormatting>
  <conditionalFormatting sqref="B16">
    <cfRule type="expression" dxfId="22" priority="16">
      <formula>MOD(ROW(),2)=1</formula>
    </cfRule>
  </conditionalFormatting>
  <conditionalFormatting sqref="C16">
    <cfRule type="expression" dxfId="21" priority="12">
      <formula>MOD(ROW(),2)=1</formula>
    </cfRule>
  </conditionalFormatting>
  <conditionalFormatting sqref="D16">
    <cfRule type="expression" dxfId="20" priority="11">
      <formula>MOD(ROW(),2)=1</formula>
    </cfRule>
  </conditionalFormatting>
  <conditionalFormatting sqref="E16">
    <cfRule type="expression" dxfId="19" priority="10">
      <formula>MOD(ROW(),2)=1</formula>
    </cfRule>
  </conditionalFormatting>
  <conditionalFormatting sqref="C22">
    <cfRule type="expression" dxfId="18" priority="9">
      <formula>MOD(ROW(),2)=1</formula>
    </cfRule>
  </conditionalFormatting>
  <conditionalFormatting sqref="D22">
    <cfRule type="expression" dxfId="17" priority="8">
      <formula>MOD(ROW(),2)=1</formula>
    </cfRule>
  </conditionalFormatting>
  <conditionalFormatting sqref="E22">
    <cfRule type="expression" dxfId="16" priority="7">
      <formula>MOD(ROW(),2)=1</formula>
    </cfRule>
  </conditionalFormatting>
  <conditionalFormatting sqref="A1:B8">
    <cfRule type="expression" dxfId="15" priority="3">
      <formula>MOD(ROW(),2)=1</formula>
    </cfRule>
  </conditionalFormatting>
  <conditionalFormatting sqref="A11">
    <cfRule type="containsText" dxfId="14" priority="2" operator="containsText" text="This data is corrupt and cannot be trusted">
      <formula>NOT(ISERROR(SEARCH("This data is corrupt and cannot be trusted",A11)))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DeleteSheet">
                <anchor moveWithCells="1">
                  <from>
                    <xdr:col>2</xdr:col>
                    <xdr:colOff>53340</xdr:colOff>
                    <xdr:row>2</xdr:row>
                    <xdr:rowOff>53340</xdr:rowOff>
                  </from>
                  <to>
                    <xdr:col>2</xdr:col>
                    <xdr:colOff>693420</xdr:colOff>
                    <xdr:row>4</xdr:row>
                    <xdr:rowOff>137160</xdr:rowOff>
                  </to>
                </anchor>
              </controlPr>
            </control>
          </mc:Choice>
        </mc:AlternateContent>
        <mc:AlternateContent xmlns:mc="http://schemas.openxmlformats.org/markup-compatibility/2006">
          <mc:Choice Requires="x14">
            <control shapeId="1033" r:id="rId5" name="Button 9">
              <controlPr defaultSize="0" print="0" autoFill="0" autoPict="0" macro="[0]!General.BusinessInfo">
                <anchor moveWithCells="1">
                  <from>
                    <xdr:col>2</xdr:col>
                    <xdr:colOff>91440</xdr:colOff>
                    <xdr:row>0</xdr:row>
                    <xdr:rowOff>68580</xdr:rowOff>
                  </from>
                  <to>
                    <xdr:col>3</xdr:col>
                    <xdr:colOff>678180</xdr:colOff>
                    <xdr:row>1</xdr:row>
                    <xdr:rowOff>99060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22E10-850D-4344-AB15-874C5FBFC12F}">
  <sheetPr codeName="Sheet2">
    <tabColor theme="7" tint="0.79998168889431442"/>
  </sheetPr>
  <dimension ref="A1:BF124"/>
  <sheetViews>
    <sheetView topLeftCell="H1" workbookViewId="0">
      <selection activeCell="N20" sqref="N20"/>
    </sheetView>
  </sheetViews>
  <sheetFormatPr defaultRowHeight="14.4" x14ac:dyDescent="0.3"/>
  <cols>
    <col min="1" max="1" width="28.44140625" bestFit="1" customWidth="1"/>
    <col min="2" max="2" width="15.88671875" bestFit="1" customWidth="1"/>
    <col min="3" max="5" width="10.88671875" bestFit="1" customWidth="1"/>
    <col min="7" max="7" width="22.44140625" bestFit="1" customWidth="1"/>
    <col min="8" max="11" width="12.33203125" bestFit="1" customWidth="1"/>
    <col min="13" max="13" width="35.21875" bestFit="1" customWidth="1"/>
    <col min="14" max="17" width="10.5546875" bestFit="1" customWidth="1"/>
    <col min="19" max="19" width="11.44140625" style="44" bestFit="1" customWidth="1"/>
    <col min="20" max="20" width="12.33203125" style="42" bestFit="1" customWidth="1"/>
    <col min="21" max="22" width="10.33203125" customWidth="1"/>
    <col min="23" max="23" width="10.33203125" style="44" bestFit="1" customWidth="1"/>
    <col min="24" max="24" width="12.33203125" style="42" bestFit="1" customWidth="1"/>
    <col min="25" max="25" width="12.33203125" style="42" customWidth="1"/>
    <col min="26" max="26" width="10.33203125" bestFit="1" customWidth="1"/>
    <col min="27" max="27" width="10.33203125" style="44" bestFit="1" customWidth="1"/>
    <col min="28" max="28" width="10.33203125" style="42" customWidth="1"/>
    <col min="29" max="30" width="8" customWidth="1"/>
    <col min="31" max="31" width="10.44140625" bestFit="1" customWidth="1"/>
    <col min="32" max="34" width="8.109375" bestFit="1" customWidth="1"/>
    <col min="35" max="35" width="8.6640625" bestFit="1" customWidth="1"/>
    <col min="36" max="36" width="13" bestFit="1" customWidth="1"/>
    <col min="37" max="37" width="12.44140625" bestFit="1" customWidth="1"/>
    <col min="41" max="41" width="10.44140625" bestFit="1" customWidth="1"/>
    <col min="42" max="44" width="8.109375" bestFit="1" customWidth="1"/>
    <col min="45" max="45" width="8.6640625" bestFit="1" customWidth="1"/>
    <col min="46" max="46" width="13" bestFit="1" customWidth="1"/>
    <col min="47" max="47" width="10" bestFit="1" customWidth="1"/>
    <col min="50" max="50" width="9.88671875" customWidth="1"/>
    <col min="51" max="51" width="12" bestFit="1" customWidth="1"/>
    <col min="52" max="52" width="10.77734375" bestFit="1" customWidth="1"/>
    <col min="53" max="53" width="13.6640625" bestFit="1" customWidth="1"/>
    <col min="54" max="54" width="10.77734375" bestFit="1" customWidth="1"/>
    <col min="55" max="55" width="12.5546875" bestFit="1" customWidth="1"/>
    <col min="56" max="56" width="10.77734375" bestFit="1" customWidth="1"/>
    <col min="57" max="57" width="14.6640625" bestFit="1" customWidth="1"/>
    <col min="58" max="58" width="10.77734375" bestFit="1" customWidth="1"/>
  </cols>
  <sheetData>
    <row r="1" spans="1:58" x14ac:dyDescent="0.3">
      <c r="A1" s="3" t="s">
        <v>23</v>
      </c>
      <c r="B1" s="1">
        <v>2018</v>
      </c>
      <c r="C1" s="1">
        <v>2017</v>
      </c>
      <c r="D1" s="1">
        <v>2016</v>
      </c>
      <c r="E1">
        <v>2015</v>
      </c>
      <c r="G1" s="2" t="s">
        <v>24</v>
      </c>
      <c r="H1" s="1">
        <v>2018</v>
      </c>
      <c r="I1" s="1">
        <v>2017</v>
      </c>
      <c r="J1" s="1">
        <v>2016</v>
      </c>
      <c r="K1">
        <v>2015</v>
      </c>
      <c r="M1" s="2" t="s">
        <v>54</v>
      </c>
      <c r="N1" s="1">
        <v>2018</v>
      </c>
      <c r="O1" s="1">
        <v>2017</v>
      </c>
      <c r="P1" s="1">
        <v>2016</v>
      </c>
      <c r="Q1" s="1">
        <v>2015</v>
      </c>
      <c r="S1" s="49" t="s">
        <v>946</v>
      </c>
      <c r="T1" s="43" t="s">
        <v>947</v>
      </c>
      <c r="U1" s="2"/>
      <c r="V1" s="2"/>
      <c r="W1" s="49" t="s">
        <v>465</v>
      </c>
      <c r="X1" s="43" t="s">
        <v>466</v>
      </c>
      <c r="Y1" s="43"/>
      <c r="AE1" s="2"/>
      <c r="AO1" s="2"/>
      <c r="AW1" t="s">
        <v>951</v>
      </c>
    </row>
    <row r="2" spans="1:58" x14ac:dyDescent="0.3">
      <c r="A2" s="1" t="s">
        <v>9</v>
      </c>
      <c r="B2" s="1">
        <v>125843000</v>
      </c>
      <c r="C2" s="1">
        <v>110360000</v>
      </c>
      <c r="D2" s="1">
        <v>96571000</v>
      </c>
      <c r="E2" s="1">
        <v>91154000</v>
      </c>
      <c r="G2" t="s">
        <v>25</v>
      </c>
      <c r="H2" s="1">
        <v>11356000</v>
      </c>
      <c r="I2" s="1">
        <v>11946000</v>
      </c>
      <c r="J2" s="1">
        <v>7663000</v>
      </c>
      <c r="K2" s="1">
        <v>6510000</v>
      </c>
      <c r="M2" t="s">
        <v>55</v>
      </c>
      <c r="N2" s="1">
        <v>11600000</v>
      </c>
      <c r="O2" s="1">
        <v>9900000</v>
      </c>
      <c r="P2" s="1">
        <v>7800000</v>
      </c>
      <c r="Q2" s="1">
        <v>5878000</v>
      </c>
      <c r="S2" s="44">
        <v>43595</v>
      </c>
      <c r="T2" s="50">
        <v>134.69</v>
      </c>
      <c r="W2" s="44">
        <v>43595</v>
      </c>
      <c r="X2" s="50">
        <v>2863.1</v>
      </c>
      <c r="Y2" s="50"/>
      <c r="Z2" s="48"/>
      <c r="AC2" s="48"/>
      <c r="AD2" s="48"/>
      <c r="AE2" s="2" t="s">
        <v>942</v>
      </c>
      <c r="AF2" s="48"/>
      <c r="AG2" s="48"/>
      <c r="AH2" s="48"/>
      <c r="AI2" s="48"/>
      <c r="AJ2" s="48"/>
      <c r="AK2" s="48"/>
      <c r="AL2" s="48"/>
      <c r="AM2" s="48"/>
      <c r="AN2" s="48"/>
      <c r="AO2" s="2" t="s">
        <v>943</v>
      </c>
      <c r="AP2" s="48"/>
      <c r="AQ2" s="48"/>
      <c r="AR2" s="48"/>
      <c r="AS2" s="48"/>
      <c r="AT2" s="48"/>
      <c r="AU2" s="48"/>
      <c r="AW2" t="s">
        <v>953</v>
      </c>
    </row>
    <row r="3" spans="1:58" x14ac:dyDescent="0.3">
      <c r="A3" s="1" t="s">
        <v>8</v>
      </c>
      <c r="B3" s="1">
        <v>42910000</v>
      </c>
      <c r="C3" s="1">
        <v>38353000</v>
      </c>
      <c r="D3" s="1">
        <v>34261000</v>
      </c>
      <c r="E3" s="1">
        <v>32780000</v>
      </c>
      <c r="G3" t="s">
        <v>26</v>
      </c>
      <c r="H3" s="1">
        <v>122476000</v>
      </c>
      <c r="I3" s="1">
        <v>121718000</v>
      </c>
      <c r="J3" s="1">
        <v>125238000</v>
      </c>
      <c r="K3" s="1">
        <v>106531000</v>
      </c>
      <c r="M3" s="1" t="s">
        <v>56</v>
      </c>
      <c r="N3" s="1">
        <v>-2521000</v>
      </c>
      <c r="O3" s="1">
        <v>-3054000</v>
      </c>
      <c r="P3" s="1">
        <v>1342000</v>
      </c>
      <c r="Q3" s="1">
        <v>6229000</v>
      </c>
      <c r="S3" s="44">
        <v>43594</v>
      </c>
      <c r="T3" s="50">
        <v>135.61000000000001</v>
      </c>
      <c r="W3" s="44">
        <v>43594</v>
      </c>
      <c r="X3" s="1">
        <v>2859.84</v>
      </c>
      <c r="Y3" s="1"/>
      <c r="Z3" s="42"/>
      <c r="AA3" s="49" t="s">
        <v>465</v>
      </c>
      <c r="AB3" s="43" t="s">
        <v>944</v>
      </c>
      <c r="AC3" s="43" t="s">
        <v>945</v>
      </c>
      <c r="AD3" s="51" t="s">
        <v>572</v>
      </c>
      <c r="AE3" s="42" t="s">
        <v>465</v>
      </c>
      <c r="AF3" s="42" t="s">
        <v>466</v>
      </c>
      <c r="AG3" s="42" t="s">
        <v>467</v>
      </c>
      <c r="AH3" s="42" t="s">
        <v>468</v>
      </c>
      <c r="AI3" t="s">
        <v>469</v>
      </c>
      <c r="AJ3" t="s">
        <v>470</v>
      </c>
      <c r="AK3" t="s">
        <v>471</v>
      </c>
      <c r="AM3" s="2" t="s">
        <v>943</v>
      </c>
      <c r="AN3" t="s">
        <v>572</v>
      </c>
      <c r="AO3" t="s">
        <v>465</v>
      </c>
      <c r="AP3" t="s">
        <v>466</v>
      </c>
      <c r="AQ3" t="s">
        <v>467</v>
      </c>
      <c r="AR3" t="s">
        <v>468</v>
      </c>
      <c r="AS3" t="s">
        <v>469</v>
      </c>
      <c r="AT3" t="s">
        <v>470</v>
      </c>
      <c r="AU3" t="s">
        <v>471</v>
      </c>
    </row>
    <row r="4" spans="1:58" x14ac:dyDescent="0.3">
      <c r="A4" s="1" t="s">
        <v>10</v>
      </c>
      <c r="B4" s="1">
        <v>16876000</v>
      </c>
      <c r="C4" s="1">
        <v>14726000</v>
      </c>
      <c r="D4" s="1">
        <v>13037000</v>
      </c>
      <c r="E4" s="1">
        <v>11988000</v>
      </c>
      <c r="G4" t="s">
        <v>27</v>
      </c>
      <c r="H4" s="1">
        <v>29524000</v>
      </c>
      <c r="I4" s="1">
        <v>26481000</v>
      </c>
      <c r="J4" s="1">
        <v>22431000</v>
      </c>
      <c r="K4" s="1">
        <v>18277000</v>
      </c>
      <c r="M4" t="s">
        <v>57</v>
      </c>
      <c r="N4" s="1">
        <v>-2812000</v>
      </c>
      <c r="O4" s="1">
        <v>-3862000</v>
      </c>
      <c r="P4" s="1">
        <v>-1216000</v>
      </c>
      <c r="Q4" s="1">
        <v>562000</v>
      </c>
      <c r="S4" s="44">
        <v>43593</v>
      </c>
      <c r="T4" s="50">
        <v>135.57</v>
      </c>
      <c r="W4" s="44">
        <v>43593</v>
      </c>
      <c r="X4" s="50">
        <v>2879.61</v>
      </c>
      <c r="Y4" s="1">
        <v>1</v>
      </c>
      <c r="Z4" s="44"/>
      <c r="AA4" s="44">
        <f>Table_2[[#This Row],[Date]]</f>
        <v>43595</v>
      </c>
      <c r="AB4" s="42">
        <f>REPLACE(AN4,2,1,"")/100</f>
        <v>1597.13</v>
      </c>
      <c r="AC4" s="42">
        <f>REPLACE(AD4,2,1,"")/100</f>
        <v>2863.1</v>
      </c>
      <c r="AD4" s="42" t="str">
        <f>REPLACE(Table_2[[#This Row],[Open]],6,1,"")</f>
        <v>2,86310</v>
      </c>
      <c r="AE4" s="44">
        <v>43595</v>
      </c>
      <c r="AF4" s="42" t="s">
        <v>450</v>
      </c>
      <c r="AG4" s="42" t="s">
        <v>263</v>
      </c>
      <c r="AH4" s="42" t="s">
        <v>362</v>
      </c>
      <c r="AI4" s="42" t="s">
        <v>159</v>
      </c>
      <c r="AJ4" s="42" t="s">
        <v>159</v>
      </c>
      <c r="AK4" s="42" t="s">
        <v>472</v>
      </c>
      <c r="AM4">
        <f>REPLACE(AN4,2,1,"")/100</f>
        <v>1597.13</v>
      </c>
      <c r="AN4" t="str">
        <f>REPLACE(Table_2__2[[#This Row],[Open]],6,1,"")</f>
        <v>1,59713</v>
      </c>
      <c r="AO4" s="44">
        <v>43595</v>
      </c>
      <c r="AP4" s="42" t="s">
        <v>573</v>
      </c>
      <c r="AQ4" s="42" t="s">
        <v>574</v>
      </c>
      <c r="AR4" s="42" t="s">
        <v>575</v>
      </c>
      <c r="AS4" s="42" t="s">
        <v>576</v>
      </c>
      <c r="AT4" s="42" t="s">
        <v>576</v>
      </c>
      <c r="AU4" s="42" t="s">
        <v>12</v>
      </c>
      <c r="AX4" s="42"/>
      <c r="AY4" s="42"/>
      <c r="AZ4" s="42"/>
      <c r="BA4" s="42"/>
      <c r="BB4" s="42"/>
      <c r="BC4" s="42"/>
      <c r="BD4" s="42"/>
      <c r="BE4" s="42"/>
      <c r="BF4" s="42"/>
    </row>
    <row r="5" spans="1:58" x14ac:dyDescent="0.3">
      <c r="A5" t="s">
        <v>11</v>
      </c>
      <c r="B5" s="1">
        <v>23098000</v>
      </c>
      <c r="C5" s="1">
        <v>22223000</v>
      </c>
      <c r="D5" s="1">
        <v>19942000</v>
      </c>
      <c r="E5" s="1">
        <v>19198000</v>
      </c>
      <c r="G5" t="s">
        <v>28</v>
      </c>
      <c r="H5" s="1">
        <v>2063000</v>
      </c>
      <c r="I5" s="1">
        <v>2662000</v>
      </c>
      <c r="J5" s="1">
        <v>2181000</v>
      </c>
      <c r="K5" s="1">
        <v>2251000</v>
      </c>
      <c r="M5" t="s">
        <v>58</v>
      </c>
      <c r="N5" s="1">
        <v>4694000</v>
      </c>
      <c r="O5" s="1">
        <v>7070000</v>
      </c>
      <c r="P5" s="1">
        <v>3901000</v>
      </c>
      <c r="Q5" s="1">
        <v>2653000</v>
      </c>
      <c r="S5" s="44">
        <v>43592</v>
      </c>
      <c r="T5" s="50">
        <v>135.13</v>
      </c>
      <c r="W5" s="44">
        <v>43592</v>
      </c>
      <c r="X5" s="50">
        <v>2913.03</v>
      </c>
      <c r="Y5" s="1">
        <v>2</v>
      </c>
      <c r="Z5" s="44"/>
      <c r="AA5" s="44">
        <f>Table_2[[#This Row],[Date]]</f>
        <v>43594</v>
      </c>
      <c r="AB5" s="42">
        <f t="shared" ref="AB5:AB68" si="0">REPLACE(AN5,2,1,"")/100</f>
        <v>1622.45</v>
      </c>
      <c r="AC5" s="42">
        <f t="shared" ref="AC5:AC68" si="1">REPLACE(AD5,2,1,"")/100</f>
        <v>2859.84</v>
      </c>
      <c r="AD5" s="42" t="str">
        <f>REPLACE(Table_2[[#This Row],[Open]],6,1,"")</f>
        <v>2,85984</v>
      </c>
      <c r="AE5" s="44">
        <v>43594</v>
      </c>
      <c r="AF5" s="42" t="s">
        <v>449</v>
      </c>
      <c r="AG5" s="42" t="s">
        <v>262</v>
      </c>
      <c r="AH5" s="42" t="s">
        <v>363</v>
      </c>
      <c r="AI5" s="42" t="s">
        <v>154</v>
      </c>
      <c r="AJ5" s="42" t="s">
        <v>154</v>
      </c>
      <c r="AK5" s="42" t="s">
        <v>473</v>
      </c>
      <c r="AM5">
        <f t="shared" ref="AM5:AM68" si="2">REPLACE(AN5,2,1,"")/100</f>
        <v>1622.45</v>
      </c>
      <c r="AN5" t="str">
        <f>REPLACE(Table_2__2[[#This Row],[Open]],6,1,"")</f>
        <v>1,62245</v>
      </c>
      <c r="AO5" s="44">
        <v>43594</v>
      </c>
      <c r="AP5" s="42" t="s">
        <v>577</v>
      </c>
      <c r="AQ5" s="42" t="s">
        <v>577</v>
      </c>
      <c r="AR5" s="42" t="s">
        <v>578</v>
      </c>
      <c r="AS5" s="42" t="s">
        <v>579</v>
      </c>
      <c r="AT5" s="42" t="s">
        <v>579</v>
      </c>
      <c r="AU5" s="42" t="s">
        <v>12</v>
      </c>
      <c r="AX5" s="42"/>
      <c r="AY5" s="42"/>
      <c r="AZ5" s="42"/>
      <c r="BA5" s="42"/>
      <c r="BB5" s="42"/>
      <c r="BC5" s="42"/>
      <c r="BD5" s="42"/>
      <c r="BE5" s="42"/>
      <c r="BF5" s="42"/>
    </row>
    <row r="6" spans="1:58" x14ac:dyDescent="0.3">
      <c r="A6" t="s">
        <v>13</v>
      </c>
      <c r="B6" t="s">
        <v>12</v>
      </c>
      <c r="C6" t="s">
        <v>12</v>
      </c>
      <c r="D6" s="1" t="s">
        <v>12</v>
      </c>
      <c r="E6" s="1" t="s">
        <v>12</v>
      </c>
      <c r="G6" t="s">
        <v>29</v>
      </c>
      <c r="H6" s="1">
        <v>10133000</v>
      </c>
      <c r="I6" s="1">
        <v>6855000</v>
      </c>
      <c r="J6" s="1">
        <v>5183000</v>
      </c>
      <c r="K6" s="1">
        <v>6091000</v>
      </c>
      <c r="M6" t="s">
        <v>59</v>
      </c>
      <c r="N6" s="1">
        <v>597000</v>
      </c>
      <c r="O6" s="1">
        <v>-465000</v>
      </c>
      <c r="P6" s="1">
        <v>50000</v>
      </c>
      <c r="Q6" s="1">
        <v>600000</v>
      </c>
      <c r="S6" s="44">
        <v>43591</v>
      </c>
      <c r="T6" s="50">
        <v>132.96</v>
      </c>
      <c r="U6" s="44"/>
      <c r="V6" s="44"/>
      <c r="W6" s="44">
        <v>43591</v>
      </c>
      <c r="X6" s="50">
        <v>2908.89</v>
      </c>
      <c r="Y6" s="1">
        <v>3</v>
      </c>
      <c r="Z6" s="44"/>
      <c r="AA6" s="44">
        <f>Table_2[[#This Row],[Date]]</f>
        <v>43593</v>
      </c>
      <c r="AB6" s="42">
        <f t="shared" si="0"/>
        <v>1617.25</v>
      </c>
      <c r="AC6" s="42">
        <f t="shared" si="1"/>
        <v>2879.61</v>
      </c>
      <c r="AD6" s="42" t="str">
        <f>REPLACE(Table_2[[#This Row],[Open]],6,1,"")</f>
        <v>2,87961</v>
      </c>
      <c r="AE6" s="44">
        <v>43593</v>
      </c>
      <c r="AF6" s="42" t="s">
        <v>451</v>
      </c>
      <c r="AG6" s="42" t="s">
        <v>264</v>
      </c>
      <c r="AH6" s="42" t="s">
        <v>365</v>
      </c>
      <c r="AI6" s="42" t="s">
        <v>158</v>
      </c>
      <c r="AJ6" s="42" t="s">
        <v>158</v>
      </c>
      <c r="AK6" s="42" t="s">
        <v>474</v>
      </c>
      <c r="AM6">
        <f t="shared" si="2"/>
        <v>1617.25</v>
      </c>
      <c r="AN6" t="str">
        <f>REPLACE(Table_2__2[[#This Row],[Open]],6,1,"")</f>
        <v>1,61725</v>
      </c>
      <c r="AO6" s="44">
        <v>43593</v>
      </c>
      <c r="AP6" s="42" t="s">
        <v>580</v>
      </c>
      <c r="AQ6" s="42" t="s">
        <v>581</v>
      </c>
      <c r="AR6" s="42" t="s">
        <v>582</v>
      </c>
      <c r="AS6" s="42" t="s">
        <v>583</v>
      </c>
      <c r="AT6" s="42" t="s">
        <v>583</v>
      </c>
      <c r="AU6" s="42" t="s">
        <v>12</v>
      </c>
      <c r="AX6" s="42"/>
      <c r="AY6" s="42"/>
      <c r="AZ6" s="42"/>
      <c r="BA6" s="42"/>
      <c r="BB6" s="42"/>
      <c r="BC6" s="42"/>
      <c r="BD6" s="42"/>
      <c r="BE6" s="42"/>
      <c r="BF6" s="42"/>
    </row>
    <row r="7" spans="1:58" x14ac:dyDescent="0.3">
      <c r="A7" s="1" t="s">
        <v>14</v>
      </c>
      <c r="B7" s="1" t="s">
        <v>12</v>
      </c>
      <c r="C7" s="1" t="s">
        <v>12</v>
      </c>
      <c r="D7" s="1" t="s">
        <v>12</v>
      </c>
      <c r="E7" s="1" t="s">
        <v>12</v>
      </c>
      <c r="F7" s="1"/>
      <c r="G7" s="1" t="s">
        <v>30</v>
      </c>
      <c r="H7" s="1">
        <v>2649000</v>
      </c>
      <c r="I7" s="1">
        <v>1862000</v>
      </c>
      <c r="J7" s="1">
        <v>6023000</v>
      </c>
      <c r="K7" s="1">
        <v>10438000</v>
      </c>
      <c r="M7" t="s">
        <v>60</v>
      </c>
      <c r="N7" s="1">
        <v>-1542000</v>
      </c>
      <c r="O7" s="1">
        <v>-459000</v>
      </c>
      <c r="P7" s="1">
        <v>349000</v>
      </c>
      <c r="Q7" s="1">
        <v>-2907000</v>
      </c>
      <c r="S7" s="44">
        <v>43588</v>
      </c>
      <c r="T7" s="50">
        <v>132.77000000000001</v>
      </c>
      <c r="U7" s="44"/>
      <c r="V7" s="44"/>
      <c r="W7" s="44">
        <v>43588</v>
      </c>
      <c r="X7" s="50">
        <v>2929.21</v>
      </c>
      <c r="Y7" s="1">
        <v>4</v>
      </c>
      <c r="Z7" s="42"/>
      <c r="AA7" s="44">
        <f>Table_2[[#This Row],[Date]]</f>
        <v>43592</v>
      </c>
      <c r="AB7" s="42">
        <f t="shared" si="0"/>
        <v>1647.85</v>
      </c>
      <c r="AC7" s="42">
        <f t="shared" si="1"/>
        <v>2913.03</v>
      </c>
      <c r="AD7" s="42" t="str">
        <f>REPLACE(Table_2[[#This Row],[Open]],6,1,"")</f>
        <v>2,91303</v>
      </c>
      <c r="AE7" s="44">
        <v>43592</v>
      </c>
      <c r="AF7" s="42" t="s">
        <v>265</v>
      </c>
      <c r="AG7" s="42" t="s">
        <v>265</v>
      </c>
      <c r="AH7" s="42" t="s">
        <v>364</v>
      </c>
      <c r="AI7" s="42" t="s">
        <v>160</v>
      </c>
      <c r="AJ7" s="42" t="s">
        <v>160</v>
      </c>
      <c r="AK7" s="42" t="s">
        <v>475</v>
      </c>
      <c r="AM7">
        <f t="shared" si="2"/>
        <v>1647.85</v>
      </c>
      <c r="AN7" t="str">
        <f>REPLACE(Table_2__2[[#This Row],[Open]],6,1,"")</f>
        <v>1,64785</v>
      </c>
      <c r="AO7" s="44">
        <v>43592</v>
      </c>
      <c r="AP7" s="42" t="s">
        <v>584</v>
      </c>
      <c r="AQ7" s="42" t="s">
        <v>585</v>
      </c>
      <c r="AR7" s="42" t="s">
        <v>586</v>
      </c>
      <c r="AS7" s="42" t="s">
        <v>587</v>
      </c>
      <c r="AT7" s="42" t="s">
        <v>587</v>
      </c>
      <c r="AU7" s="42" t="s">
        <v>12</v>
      </c>
      <c r="AX7" s="42"/>
      <c r="AY7" s="42"/>
      <c r="AZ7" s="42"/>
      <c r="BA7" s="42"/>
      <c r="BB7" s="42"/>
      <c r="BC7" s="42"/>
      <c r="BD7" s="42"/>
      <c r="BE7" s="42"/>
      <c r="BF7" s="42"/>
    </row>
    <row r="8" spans="1:58" x14ac:dyDescent="0.3">
      <c r="A8" s="1" t="s">
        <v>15</v>
      </c>
      <c r="B8" s="1">
        <v>82884000</v>
      </c>
      <c r="C8" s="1">
        <v>75302000</v>
      </c>
      <c r="D8" s="1">
        <v>67240000</v>
      </c>
      <c r="E8" s="1">
        <v>63966000</v>
      </c>
      <c r="F8" s="1"/>
      <c r="G8" s="1" t="s">
        <v>31</v>
      </c>
      <c r="H8" s="1">
        <v>43856000</v>
      </c>
      <c r="I8" s="1">
        <v>36146000</v>
      </c>
      <c r="J8" s="1">
        <v>30289000</v>
      </c>
      <c r="K8" s="1">
        <v>18356000</v>
      </c>
      <c r="M8" t="s">
        <v>61</v>
      </c>
      <c r="N8" s="1">
        <v>-13925000</v>
      </c>
      <c r="O8" s="1">
        <v>-11632000</v>
      </c>
      <c r="P8" s="1">
        <v>-8129000</v>
      </c>
      <c r="Q8" s="1">
        <v>-8343000</v>
      </c>
      <c r="S8" s="44">
        <v>43587</v>
      </c>
      <c r="T8" s="50">
        <v>136.5</v>
      </c>
      <c r="U8" s="44"/>
      <c r="V8" s="44"/>
      <c r="W8" s="44">
        <v>43587</v>
      </c>
      <c r="X8" s="50">
        <v>2922.16</v>
      </c>
      <c r="Y8" s="1">
        <v>5</v>
      </c>
      <c r="Z8" s="42"/>
      <c r="AA8" s="44">
        <f>Table_2[[#This Row],[Date]]</f>
        <v>43591</v>
      </c>
      <c r="AB8" s="42">
        <f t="shared" si="0"/>
        <v>1665.89</v>
      </c>
      <c r="AC8" s="42">
        <f t="shared" si="1"/>
        <v>2908.89</v>
      </c>
      <c r="AD8" s="42" t="str">
        <f>REPLACE(Table_2[[#This Row],[Open]],6,1,"")</f>
        <v>2,90889</v>
      </c>
      <c r="AE8" s="44">
        <v>43591</v>
      </c>
      <c r="AF8" s="42" t="s">
        <v>452</v>
      </c>
      <c r="AG8" s="42" t="s">
        <v>267</v>
      </c>
      <c r="AH8" s="42" t="s">
        <v>366</v>
      </c>
      <c r="AI8" s="42" t="s">
        <v>175</v>
      </c>
      <c r="AJ8" s="42" t="s">
        <v>175</v>
      </c>
      <c r="AK8" s="42" t="s">
        <v>476</v>
      </c>
      <c r="AM8">
        <f t="shared" si="2"/>
        <v>1665.89</v>
      </c>
      <c r="AN8" t="str">
        <f>REPLACE(Table_2__2[[#This Row],[Open]],6,1,"")</f>
        <v>1,66589</v>
      </c>
      <c r="AO8" s="44">
        <v>43591</v>
      </c>
      <c r="AP8" s="42" t="s">
        <v>588</v>
      </c>
      <c r="AQ8" s="42" t="s">
        <v>588</v>
      </c>
      <c r="AR8" s="42" t="s">
        <v>589</v>
      </c>
      <c r="AS8" s="42" t="s">
        <v>590</v>
      </c>
      <c r="AT8" s="42" t="s">
        <v>590</v>
      </c>
      <c r="AU8" s="42" t="s">
        <v>12</v>
      </c>
      <c r="AX8" s="42"/>
      <c r="AY8" s="42"/>
      <c r="AZ8" s="42"/>
      <c r="BA8" s="42"/>
      <c r="BB8" s="42"/>
      <c r="BC8" s="42"/>
      <c r="BD8" s="42"/>
      <c r="BE8" s="42"/>
      <c r="BF8" s="42"/>
    </row>
    <row r="9" spans="1:58" x14ac:dyDescent="0.3">
      <c r="A9" s="1" t="s">
        <v>16</v>
      </c>
      <c r="B9" s="1">
        <v>729000</v>
      </c>
      <c r="C9" s="1">
        <v>1416000</v>
      </c>
      <c r="D9" s="1">
        <v>570000</v>
      </c>
      <c r="E9" s="1">
        <v>-1549000</v>
      </c>
      <c r="F9" s="1"/>
      <c r="G9" s="1" t="s">
        <v>32</v>
      </c>
      <c r="H9" s="1">
        <v>42026000</v>
      </c>
      <c r="I9" s="1">
        <v>35683000</v>
      </c>
      <c r="J9" s="1">
        <v>35122000</v>
      </c>
      <c r="K9" s="1">
        <v>17872000</v>
      </c>
      <c r="M9" t="s">
        <v>62</v>
      </c>
      <c r="N9" s="1">
        <v>540000</v>
      </c>
      <c r="O9" s="1">
        <v>6557000</v>
      </c>
      <c r="P9" s="1">
        <v>-12511000</v>
      </c>
      <c r="Q9" s="1">
        <v>-14417000</v>
      </c>
      <c r="S9" s="44">
        <v>43586</v>
      </c>
      <c r="T9" s="50">
        <v>136.5</v>
      </c>
      <c r="U9" s="44"/>
      <c r="V9" s="44"/>
      <c r="W9" s="44">
        <v>43586</v>
      </c>
      <c r="X9" s="1">
        <v>2952.33</v>
      </c>
      <c r="Y9" s="1">
        <v>6</v>
      </c>
      <c r="Z9" s="42"/>
      <c r="AA9" s="44">
        <f>Table_2[[#This Row],[Date]]</f>
        <v>43588</v>
      </c>
      <c r="AB9" s="42">
        <f t="shared" si="0"/>
        <v>1664.94</v>
      </c>
      <c r="AC9" s="42">
        <f t="shared" si="1"/>
        <v>2929.21</v>
      </c>
      <c r="AD9" s="42" t="str">
        <f>REPLACE(Table_2[[#This Row],[Open]],6,1,"")</f>
        <v>2,92921</v>
      </c>
      <c r="AE9" s="44">
        <v>43588</v>
      </c>
      <c r="AF9" s="42" t="s">
        <v>369</v>
      </c>
      <c r="AG9" s="42" t="s">
        <v>268</v>
      </c>
      <c r="AH9" s="42" t="s">
        <v>369</v>
      </c>
      <c r="AI9" s="42" t="s">
        <v>179</v>
      </c>
      <c r="AJ9" s="42" t="s">
        <v>179</v>
      </c>
      <c r="AK9" s="42" t="s">
        <v>477</v>
      </c>
      <c r="AM9">
        <f t="shared" si="2"/>
        <v>1664.94</v>
      </c>
      <c r="AN9" t="str">
        <f>REPLACE(Table_2__2[[#This Row],[Open]],6,1,"")</f>
        <v>1,66494</v>
      </c>
      <c r="AO9" s="44">
        <v>43588</v>
      </c>
      <c r="AP9" s="42" t="s">
        <v>591</v>
      </c>
      <c r="AQ9" s="42" t="s">
        <v>592</v>
      </c>
      <c r="AR9" s="42" t="s">
        <v>593</v>
      </c>
      <c r="AS9" s="42" t="s">
        <v>594</v>
      </c>
      <c r="AT9" s="42" t="s">
        <v>594</v>
      </c>
      <c r="AU9" s="42" t="s">
        <v>12</v>
      </c>
      <c r="AX9" s="42"/>
      <c r="AY9" s="42"/>
      <c r="AZ9" s="42"/>
      <c r="BA9" s="42"/>
      <c r="BB9" s="42"/>
      <c r="BC9" s="42"/>
      <c r="BD9" s="42"/>
      <c r="BE9" s="42"/>
      <c r="BF9" s="42"/>
    </row>
    <row r="10" spans="1:58" x14ac:dyDescent="0.3">
      <c r="A10" s="1" t="s">
        <v>17</v>
      </c>
      <c r="B10" s="1">
        <v>42959000</v>
      </c>
      <c r="C10" s="1">
        <v>35058000</v>
      </c>
      <c r="D10" s="1">
        <v>29331000</v>
      </c>
      <c r="E10" s="1">
        <v>27188000</v>
      </c>
      <c r="F10" s="1"/>
      <c r="G10" s="1" t="s">
        <v>33</v>
      </c>
      <c r="H10" s="1">
        <v>7750000</v>
      </c>
      <c r="I10" s="1">
        <v>8053000</v>
      </c>
      <c r="J10" s="1">
        <v>10106000</v>
      </c>
      <c r="K10" s="1">
        <v>3733000</v>
      </c>
      <c r="M10" t="s">
        <v>63</v>
      </c>
      <c r="N10" s="1" t="s">
        <v>12</v>
      </c>
      <c r="O10" s="1">
        <v>-98000</v>
      </c>
      <c r="P10" s="1">
        <v>-197000</v>
      </c>
      <c r="Q10" s="1">
        <v>203000</v>
      </c>
      <c r="S10" s="44">
        <v>43585</v>
      </c>
      <c r="T10" s="50">
        <v>138.35</v>
      </c>
      <c r="U10" s="44"/>
      <c r="V10" s="44"/>
      <c r="W10" s="44">
        <v>43585</v>
      </c>
      <c r="X10" s="50">
        <v>2937.14</v>
      </c>
      <c r="Y10" s="1">
        <v>7</v>
      </c>
      <c r="Z10" s="42"/>
      <c r="AA10" s="44">
        <f>Table_2[[#This Row],[Date]]</f>
        <v>43587</v>
      </c>
      <c r="AB10" s="42">
        <f t="shared" si="0"/>
        <v>1675.76</v>
      </c>
      <c r="AC10" s="42">
        <f t="shared" si="1"/>
        <v>2922.16</v>
      </c>
      <c r="AD10" s="42" t="str">
        <f>REPLACE(Table_2[[#This Row],[Open]],6,1,"")</f>
        <v>2,92216</v>
      </c>
      <c r="AE10" s="44">
        <v>43587</v>
      </c>
      <c r="AF10" s="42" t="s">
        <v>453</v>
      </c>
      <c r="AG10" s="42" t="s">
        <v>266</v>
      </c>
      <c r="AH10" s="42" t="s">
        <v>367</v>
      </c>
      <c r="AI10" s="42" t="s">
        <v>171</v>
      </c>
      <c r="AJ10" s="42" t="s">
        <v>171</v>
      </c>
      <c r="AK10" s="42" t="s">
        <v>478</v>
      </c>
      <c r="AM10">
        <f t="shared" si="2"/>
        <v>1675.76</v>
      </c>
      <c r="AN10" t="str">
        <f>REPLACE(Table_2__2[[#This Row],[Open]],6,1,"")</f>
        <v>1,67576</v>
      </c>
      <c r="AO10" s="44">
        <v>43587</v>
      </c>
      <c r="AP10" s="42" t="s">
        <v>595</v>
      </c>
      <c r="AQ10" s="42" t="s">
        <v>595</v>
      </c>
      <c r="AR10" s="42" t="s">
        <v>596</v>
      </c>
      <c r="AS10" s="42" t="s">
        <v>597</v>
      </c>
      <c r="AT10" s="42" t="s">
        <v>597</v>
      </c>
      <c r="AU10" s="42" t="s">
        <v>12</v>
      </c>
      <c r="AX10" s="42"/>
      <c r="AY10" s="42"/>
      <c r="AZ10" s="42"/>
      <c r="BA10" s="42"/>
      <c r="BB10" s="42"/>
      <c r="BC10" s="42"/>
      <c r="BD10" s="42"/>
      <c r="BE10" s="42"/>
      <c r="BF10" s="42"/>
    </row>
    <row r="11" spans="1:58" x14ac:dyDescent="0.3">
      <c r="A11" s="1" t="s">
        <v>18</v>
      </c>
      <c r="B11" s="1">
        <v>-2686000</v>
      </c>
      <c r="C11" s="1">
        <v>-2733000</v>
      </c>
      <c r="D11" s="1">
        <v>-2222000</v>
      </c>
      <c r="E11" s="1">
        <v>-1243000</v>
      </c>
      <c r="G11" s="1" t="s">
        <v>34</v>
      </c>
      <c r="H11" s="1" t="s">
        <v>12</v>
      </c>
      <c r="I11" s="1" t="s">
        <v>12</v>
      </c>
      <c r="J11" s="1" t="s">
        <v>12</v>
      </c>
      <c r="K11" s="1" t="s">
        <v>12</v>
      </c>
      <c r="M11" t="s">
        <v>64</v>
      </c>
      <c r="N11" s="1">
        <v>-13811000</v>
      </c>
      <c r="O11" s="1">
        <v>-12699000</v>
      </c>
      <c r="P11" s="1">
        <v>-11845000</v>
      </c>
      <c r="Q11" s="1">
        <v>-11006000</v>
      </c>
      <c r="S11" s="44">
        <v>43584</v>
      </c>
      <c r="T11" s="50">
        <v>144.4</v>
      </c>
      <c r="W11" s="44">
        <v>43584</v>
      </c>
      <c r="X11" s="50">
        <v>2940.58</v>
      </c>
      <c r="Y11" s="1">
        <v>8</v>
      </c>
      <c r="Z11" s="42"/>
      <c r="AA11" s="44">
        <f>Table_2[[#This Row],[Date]]</f>
        <v>43586</v>
      </c>
      <c r="AB11" s="42">
        <f t="shared" si="0"/>
        <v>1691.33</v>
      </c>
      <c r="AC11" s="42">
        <f t="shared" si="1"/>
        <v>2952.33</v>
      </c>
      <c r="AD11" s="42" t="str">
        <f>REPLACE(Table_2[[#This Row],[Open]],6,1,"")</f>
        <v>2,95233</v>
      </c>
      <c r="AE11" s="44">
        <v>43586</v>
      </c>
      <c r="AF11" s="42" t="s">
        <v>454</v>
      </c>
      <c r="AG11" s="42" t="s">
        <v>269</v>
      </c>
      <c r="AH11" s="42" t="s">
        <v>368</v>
      </c>
      <c r="AI11" s="42" t="s">
        <v>172</v>
      </c>
      <c r="AJ11" s="42" t="s">
        <v>172</v>
      </c>
      <c r="AK11" s="42" t="s">
        <v>479</v>
      </c>
      <c r="AM11">
        <f t="shared" si="2"/>
        <v>1691.33</v>
      </c>
      <c r="AN11" t="str">
        <f>REPLACE(Table_2__2[[#This Row],[Open]],6,1,"")</f>
        <v>1,69133</v>
      </c>
      <c r="AO11" s="44">
        <v>43585</v>
      </c>
      <c r="AP11" s="42" t="s">
        <v>598</v>
      </c>
      <c r="AQ11" s="42" t="s">
        <v>599</v>
      </c>
      <c r="AR11" s="42" t="s">
        <v>600</v>
      </c>
      <c r="AS11" s="42" t="s">
        <v>601</v>
      </c>
      <c r="AT11" s="42" t="s">
        <v>601</v>
      </c>
      <c r="AU11" s="42" t="s">
        <v>12</v>
      </c>
      <c r="AX11" s="42"/>
      <c r="AY11" s="42"/>
      <c r="AZ11" s="42"/>
      <c r="BA11" s="42"/>
      <c r="BB11" s="42"/>
      <c r="BC11" s="42"/>
      <c r="BD11" s="42"/>
      <c r="BE11" s="42"/>
      <c r="BF11" s="42"/>
    </row>
    <row r="12" spans="1:58" x14ac:dyDescent="0.3">
      <c r="A12" s="1" t="s">
        <v>19</v>
      </c>
      <c r="B12" s="1">
        <v>43688000</v>
      </c>
      <c r="C12" s="1">
        <v>36474000</v>
      </c>
      <c r="D12" s="1">
        <v>29901000</v>
      </c>
      <c r="E12" s="1">
        <v>25639000</v>
      </c>
      <c r="G12" s="1" t="s">
        <v>35</v>
      </c>
      <c r="H12" s="1">
        <v>14723000</v>
      </c>
      <c r="I12" s="1">
        <v>7442000</v>
      </c>
      <c r="J12" s="1">
        <v>6076000</v>
      </c>
      <c r="K12" s="1">
        <v>3409000</v>
      </c>
      <c r="M12" t="s">
        <v>65</v>
      </c>
      <c r="N12" s="1" t="s">
        <v>12</v>
      </c>
      <c r="O12" s="1" t="s">
        <v>12</v>
      </c>
      <c r="P12" s="1" t="s">
        <v>12</v>
      </c>
      <c r="Q12" s="1" t="s">
        <v>12</v>
      </c>
      <c r="S12" s="44">
        <v>43581</v>
      </c>
      <c r="T12" s="50">
        <v>134</v>
      </c>
      <c r="W12" s="44">
        <v>43581</v>
      </c>
      <c r="X12" s="50">
        <v>2925.81</v>
      </c>
      <c r="Y12" s="1">
        <v>9</v>
      </c>
      <c r="Z12" s="42"/>
      <c r="AA12" s="44">
        <f>Table_2[[#This Row],[Date]]</f>
        <v>43585</v>
      </c>
      <c r="AB12" s="42">
        <f t="shared" si="0"/>
        <v>1689.76</v>
      </c>
      <c r="AC12" s="42">
        <f t="shared" si="1"/>
        <v>2937.14</v>
      </c>
      <c r="AD12" s="42" t="str">
        <f>REPLACE(Table_2[[#This Row],[Open]],6,1,"")</f>
        <v>2,93714</v>
      </c>
      <c r="AE12" s="44">
        <v>43585</v>
      </c>
      <c r="AF12" s="42" t="s">
        <v>447</v>
      </c>
      <c r="AG12" s="42" t="s">
        <v>260</v>
      </c>
      <c r="AH12" s="42" t="s">
        <v>359</v>
      </c>
      <c r="AI12" s="42" t="s">
        <v>180</v>
      </c>
      <c r="AJ12" s="42" t="s">
        <v>180</v>
      </c>
      <c r="AK12" s="42" t="s">
        <v>480</v>
      </c>
      <c r="AM12">
        <f t="shared" si="2"/>
        <v>1689.76</v>
      </c>
      <c r="AN12" t="str">
        <f>REPLACE(Table_2__2[[#This Row],[Open]],6,1,"")</f>
        <v>1,68976</v>
      </c>
      <c r="AO12" s="44">
        <v>43584</v>
      </c>
      <c r="AP12" s="42" t="s">
        <v>602</v>
      </c>
      <c r="AQ12" s="42" t="s">
        <v>603</v>
      </c>
      <c r="AR12" s="42" t="s">
        <v>604</v>
      </c>
      <c r="AS12" s="42" t="s">
        <v>605</v>
      </c>
      <c r="AT12" s="42" t="s">
        <v>605</v>
      </c>
      <c r="AU12" s="42" t="s">
        <v>12</v>
      </c>
      <c r="AX12" s="42"/>
      <c r="AY12" s="42"/>
      <c r="AZ12" s="42"/>
      <c r="BA12" s="42"/>
      <c r="BB12" s="42"/>
      <c r="BC12" s="42"/>
      <c r="BD12" s="42"/>
      <c r="BE12" s="42"/>
      <c r="BF12" s="42"/>
    </row>
    <row r="13" spans="1:58" x14ac:dyDescent="0.3">
      <c r="A13" s="1" t="s">
        <v>20</v>
      </c>
      <c r="B13" s="1">
        <v>4448000</v>
      </c>
      <c r="C13" s="1">
        <v>19903000</v>
      </c>
      <c r="D13" s="1">
        <v>4412000</v>
      </c>
      <c r="E13" s="1">
        <v>5100000</v>
      </c>
      <c r="F13" s="1"/>
      <c r="G13" s="1" t="s">
        <v>36</v>
      </c>
      <c r="H13" s="1">
        <v>7536000</v>
      </c>
      <c r="I13" s="1">
        <v>1369000</v>
      </c>
      <c r="J13" s="1">
        <v>248000</v>
      </c>
      <c r="K13" s="1">
        <v>219000</v>
      </c>
      <c r="M13" s="1" t="s">
        <v>66</v>
      </c>
      <c r="N13" s="1">
        <v>-4000000</v>
      </c>
      <c r="O13" s="1">
        <v>-10201000</v>
      </c>
      <c r="P13" s="1">
        <v>31459000</v>
      </c>
      <c r="Q13" s="1">
        <v>18283000</v>
      </c>
      <c r="S13" s="44">
        <v>43580</v>
      </c>
      <c r="T13" s="50">
        <v>134.5</v>
      </c>
      <c r="W13" s="44">
        <v>43580</v>
      </c>
      <c r="X13" s="50">
        <v>2928.99</v>
      </c>
      <c r="Y13" s="1">
        <v>10</v>
      </c>
      <c r="Z13" s="42"/>
      <c r="AA13" s="44">
        <f>Table_2[[#This Row],[Date]]</f>
        <v>43584</v>
      </c>
      <c r="AB13" s="42">
        <f t="shared" si="0"/>
        <v>1689.9</v>
      </c>
      <c r="AC13" s="42">
        <f t="shared" si="1"/>
        <v>2940.58</v>
      </c>
      <c r="AD13" s="42" t="str">
        <f>REPLACE(Table_2[[#This Row],[Open]],6,1,"")</f>
        <v>2,94058</v>
      </c>
      <c r="AE13" s="44">
        <v>43584</v>
      </c>
      <c r="AF13" s="42" t="s">
        <v>448</v>
      </c>
      <c r="AG13" s="42" t="s">
        <v>261</v>
      </c>
      <c r="AH13" s="42" t="s">
        <v>361</v>
      </c>
      <c r="AI13" s="42" t="s">
        <v>178</v>
      </c>
      <c r="AJ13" s="42" t="s">
        <v>178</v>
      </c>
      <c r="AK13" s="42" t="s">
        <v>481</v>
      </c>
      <c r="AM13">
        <f t="shared" si="2"/>
        <v>1689.9</v>
      </c>
      <c r="AN13" t="str">
        <f>REPLACE(Table_2__2[[#This Row],[Open]],6,1,"")</f>
        <v>1,68990</v>
      </c>
      <c r="AO13" s="44">
        <v>43581</v>
      </c>
      <c r="AP13" s="42" t="s">
        <v>606</v>
      </c>
      <c r="AQ13" s="42" t="s">
        <v>607</v>
      </c>
      <c r="AR13" s="42" t="s">
        <v>608</v>
      </c>
      <c r="AS13" s="42" t="s">
        <v>609</v>
      </c>
      <c r="AT13" s="42" t="s">
        <v>609</v>
      </c>
      <c r="AU13" s="42" t="s">
        <v>12</v>
      </c>
      <c r="AX13" s="42"/>
      <c r="AY13" s="42"/>
      <c r="AZ13" s="42"/>
      <c r="BA13" s="42"/>
      <c r="BB13" s="42"/>
      <c r="BC13" s="42"/>
      <c r="BD13" s="42"/>
      <c r="BE13" s="42"/>
      <c r="BF13" s="42"/>
    </row>
    <row r="14" spans="1:58" x14ac:dyDescent="0.3">
      <c r="A14" s="1" t="s">
        <v>78</v>
      </c>
      <c r="B14" s="1" t="s">
        <v>12</v>
      </c>
      <c r="C14" s="1" t="s">
        <v>12</v>
      </c>
      <c r="D14" s="1" t="s">
        <v>12</v>
      </c>
      <c r="E14" s="1" t="s">
        <v>12</v>
      </c>
      <c r="F14" s="1"/>
      <c r="G14" s="1" t="s">
        <v>37</v>
      </c>
      <c r="H14" s="1">
        <v>9382000</v>
      </c>
      <c r="I14" s="1">
        <v>8617000</v>
      </c>
      <c r="J14" s="1">
        <v>7390000</v>
      </c>
      <c r="K14" s="1">
        <v>6898000</v>
      </c>
      <c r="M14" t="s">
        <v>67</v>
      </c>
      <c r="N14" s="1">
        <v>-675000</v>
      </c>
      <c r="O14" s="1">
        <v>-971000</v>
      </c>
      <c r="P14" s="1">
        <v>-190000</v>
      </c>
      <c r="Q14" s="1">
        <v>-369000</v>
      </c>
      <c r="S14" s="44">
        <v>43579</v>
      </c>
      <c r="T14" s="50">
        <v>138.47999999999999</v>
      </c>
      <c r="W14" s="44">
        <v>43579</v>
      </c>
      <c r="X14" s="50">
        <v>2934</v>
      </c>
      <c r="Y14" s="1">
        <v>11</v>
      </c>
      <c r="Z14" s="42"/>
      <c r="AA14" s="44">
        <f>Table_2[[#This Row],[Date]]</f>
        <v>43581</v>
      </c>
      <c r="AB14" s="42">
        <f t="shared" si="0"/>
        <v>1678.97</v>
      </c>
      <c r="AC14" s="42">
        <f t="shared" si="1"/>
        <v>2925.81</v>
      </c>
      <c r="AD14" s="42" t="str">
        <f>REPLACE(Table_2[[#This Row],[Open]],6,1,"")</f>
        <v>2,92581</v>
      </c>
      <c r="AE14" s="44">
        <v>43581</v>
      </c>
      <c r="AF14" s="42" t="s">
        <v>444</v>
      </c>
      <c r="AG14" s="42" t="s">
        <v>177</v>
      </c>
      <c r="AH14" s="42" t="s">
        <v>358</v>
      </c>
      <c r="AI14" s="42" t="s">
        <v>177</v>
      </c>
      <c r="AJ14" s="42" t="s">
        <v>177</v>
      </c>
      <c r="AK14" s="42" t="s">
        <v>482</v>
      </c>
      <c r="AM14">
        <f t="shared" si="2"/>
        <v>1678.97</v>
      </c>
      <c r="AN14" t="str">
        <f>REPLACE(Table_2__2[[#This Row],[Open]],6,1,"")</f>
        <v>1,67897</v>
      </c>
      <c r="AO14" s="44">
        <v>43580</v>
      </c>
      <c r="AP14" s="42" t="s">
        <v>610</v>
      </c>
      <c r="AQ14" s="42" t="s">
        <v>611</v>
      </c>
      <c r="AR14" s="42" t="s">
        <v>612</v>
      </c>
      <c r="AS14" s="42" t="s">
        <v>613</v>
      </c>
      <c r="AT14" s="42" t="s">
        <v>613</v>
      </c>
      <c r="AU14" s="42" t="s">
        <v>12</v>
      </c>
      <c r="AX14" s="42"/>
      <c r="AY14" s="42"/>
      <c r="AZ14" s="42"/>
      <c r="BA14" s="42"/>
      <c r="BB14" s="42"/>
      <c r="BC14" s="42"/>
      <c r="BD14" s="42"/>
      <c r="BE14" s="42"/>
      <c r="BF14" s="42"/>
    </row>
    <row r="15" spans="1:58" x14ac:dyDescent="0.3">
      <c r="A15" s="1" t="s">
        <v>7</v>
      </c>
      <c r="B15" s="1">
        <v>82933000</v>
      </c>
      <c r="C15" s="1">
        <v>72007000</v>
      </c>
      <c r="D15" s="1">
        <v>62310000</v>
      </c>
      <c r="E15" s="1">
        <v>58374000</v>
      </c>
      <c r="F15" s="1"/>
      <c r="G15" s="1" t="s">
        <v>38</v>
      </c>
      <c r="H15" s="1">
        <v>5516000</v>
      </c>
      <c r="I15" s="1">
        <v>3998000</v>
      </c>
      <c r="J15" s="1">
        <v>1049000</v>
      </c>
      <c r="K15" s="1" t="s">
        <v>12</v>
      </c>
      <c r="M15" s="4" t="s">
        <v>68</v>
      </c>
      <c r="N15" s="5">
        <v>-115000</v>
      </c>
      <c r="O15" s="5">
        <v>50000</v>
      </c>
      <c r="P15" s="5">
        <v>19000</v>
      </c>
      <c r="Q15" s="5">
        <v>-67000</v>
      </c>
      <c r="S15" s="44">
        <v>43578</v>
      </c>
      <c r="T15" s="50">
        <v>134.96</v>
      </c>
      <c r="W15" s="44">
        <v>43578</v>
      </c>
      <c r="X15" s="1">
        <v>2909.99</v>
      </c>
      <c r="Y15" s="1">
        <v>12</v>
      </c>
      <c r="Z15" s="42"/>
      <c r="AA15" s="44">
        <f>Table_2[[#This Row],[Date]]</f>
        <v>43580</v>
      </c>
      <c r="AB15" s="42">
        <f t="shared" si="0"/>
        <v>1672.1</v>
      </c>
      <c r="AC15" s="42">
        <f t="shared" si="1"/>
        <v>2928.99</v>
      </c>
      <c r="AD15" s="42" t="str">
        <f>REPLACE(Table_2[[#This Row],[Open]],6,1,"")</f>
        <v>2,92899</v>
      </c>
      <c r="AE15" s="44">
        <v>43580</v>
      </c>
      <c r="AF15" s="42" t="s">
        <v>445</v>
      </c>
      <c r="AG15" s="42" t="s">
        <v>257</v>
      </c>
      <c r="AH15" s="42" t="s">
        <v>357</v>
      </c>
      <c r="AI15" s="42" t="s">
        <v>173</v>
      </c>
      <c r="AJ15" s="42" t="s">
        <v>173</v>
      </c>
      <c r="AK15" s="42" t="s">
        <v>483</v>
      </c>
      <c r="AM15">
        <f t="shared" si="2"/>
        <v>1672.1</v>
      </c>
      <c r="AN15" t="str">
        <f>REPLACE(Table_2__2[[#This Row],[Open]],6,1,"")</f>
        <v>1,67210</v>
      </c>
      <c r="AO15" s="44">
        <v>43579</v>
      </c>
      <c r="AP15" s="42" t="s">
        <v>614</v>
      </c>
      <c r="AQ15" s="42" t="s">
        <v>615</v>
      </c>
      <c r="AR15" s="42" t="s">
        <v>616</v>
      </c>
      <c r="AS15" s="42" t="s">
        <v>617</v>
      </c>
      <c r="AT15" s="42" t="s">
        <v>617</v>
      </c>
      <c r="AU15" s="42" t="s">
        <v>12</v>
      </c>
      <c r="AX15" s="42"/>
      <c r="AY15" s="42"/>
      <c r="AZ15" s="42"/>
      <c r="BA15" s="42"/>
      <c r="BB15" s="42"/>
      <c r="BC15" s="42"/>
      <c r="BD15" s="42"/>
      <c r="BE15" s="42"/>
      <c r="BF15" s="42"/>
    </row>
    <row r="16" spans="1:58" x14ac:dyDescent="0.3">
      <c r="A16" s="1" t="s">
        <v>21</v>
      </c>
      <c r="B16" s="1">
        <v>42959000</v>
      </c>
      <c r="C16" s="1">
        <v>35058000</v>
      </c>
      <c r="D16" s="1">
        <v>29331000</v>
      </c>
      <c r="E16" s="1">
        <v>27188000</v>
      </c>
      <c r="F16" s="1"/>
      <c r="G16" s="1" t="s">
        <v>39</v>
      </c>
      <c r="H16" s="1">
        <v>45860000</v>
      </c>
      <c r="I16" s="1">
        <v>38195000</v>
      </c>
      <c r="J16" s="1">
        <v>30879000</v>
      </c>
      <c r="K16" s="1">
        <v>33972000</v>
      </c>
      <c r="M16" t="s">
        <v>22</v>
      </c>
      <c r="N16" s="1">
        <v>39240000</v>
      </c>
      <c r="O16" s="1">
        <v>16571000</v>
      </c>
      <c r="P16" s="1">
        <v>25489000</v>
      </c>
      <c r="Q16" s="1">
        <v>20539000</v>
      </c>
      <c r="S16" s="44">
        <v>43577</v>
      </c>
      <c r="T16" s="50">
        <v>136.19999999999999</v>
      </c>
      <c r="W16" s="44">
        <v>43577</v>
      </c>
      <c r="X16" s="50">
        <v>2898.78</v>
      </c>
      <c r="Y16" s="1">
        <v>13</v>
      </c>
      <c r="Z16" s="42"/>
      <c r="AA16" s="44">
        <f>Table_2[[#This Row],[Date]]</f>
        <v>43579</v>
      </c>
      <c r="AB16" s="42">
        <f t="shared" si="0"/>
        <v>1670.5</v>
      </c>
      <c r="AC16" s="42">
        <f t="shared" si="1"/>
        <v>2934</v>
      </c>
      <c r="AD16" s="42" t="str">
        <f>REPLACE(Table_2[[#This Row],[Open]],6,1,"")</f>
        <v>2,93400</v>
      </c>
      <c r="AE16" s="44">
        <v>43579</v>
      </c>
      <c r="AF16" s="42" t="s">
        <v>446</v>
      </c>
      <c r="AG16" s="42" t="s">
        <v>259</v>
      </c>
      <c r="AH16" s="42" t="s">
        <v>360</v>
      </c>
      <c r="AI16" s="42" t="s">
        <v>174</v>
      </c>
      <c r="AJ16" s="42" t="s">
        <v>174</v>
      </c>
      <c r="AK16" s="42" t="s">
        <v>484</v>
      </c>
      <c r="AM16">
        <f t="shared" si="2"/>
        <v>1670.5</v>
      </c>
      <c r="AN16" t="str">
        <f>REPLACE(Table_2__2[[#This Row],[Open]],6,1,"")</f>
        <v>1,67050</v>
      </c>
      <c r="AO16" s="44">
        <v>43578</v>
      </c>
      <c r="AP16" s="42" t="s">
        <v>618</v>
      </c>
      <c r="AQ16" s="42" t="s">
        <v>619</v>
      </c>
      <c r="AR16" s="42" t="s">
        <v>620</v>
      </c>
      <c r="AS16" s="42" t="s">
        <v>621</v>
      </c>
      <c r="AT16" s="42" t="s">
        <v>621</v>
      </c>
      <c r="AU16" s="42" t="s">
        <v>12</v>
      </c>
      <c r="AX16" s="42"/>
      <c r="AY16" s="42"/>
      <c r="AZ16" s="42"/>
      <c r="BA16" s="42"/>
      <c r="BB16" s="42"/>
      <c r="BC16" s="42"/>
      <c r="BD16" s="42"/>
      <c r="BE16" s="42"/>
      <c r="BF16" s="42"/>
    </row>
    <row r="17" spans="1:58" x14ac:dyDescent="0.3">
      <c r="A17" s="1" t="s">
        <v>79</v>
      </c>
      <c r="B17" s="1">
        <v>39240000</v>
      </c>
      <c r="C17" s="1">
        <v>16571000</v>
      </c>
      <c r="D17" s="1">
        <v>25489000</v>
      </c>
      <c r="E17" s="1">
        <v>20539000</v>
      </c>
      <c r="F17" s="1"/>
      <c r="G17" s="1" t="s">
        <v>40</v>
      </c>
      <c r="H17" s="1">
        <v>66662000</v>
      </c>
      <c r="I17" s="1">
        <v>72242000</v>
      </c>
      <c r="J17" s="1">
        <v>76073000</v>
      </c>
      <c r="K17" s="1">
        <v>40557000</v>
      </c>
      <c r="M17" t="s">
        <v>69</v>
      </c>
      <c r="N17" s="1">
        <v>52185000</v>
      </c>
      <c r="O17" s="1">
        <v>43884000</v>
      </c>
      <c r="P17" s="1">
        <v>39507000</v>
      </c>
      <c r="Q17" s="1">
        <v>33325000</v>
      </c>
      <c r="X17" s="50"/>
      <c r="Y17" s="1">
        <v>14</v>
      </c>
      <c r="Z17" s="42"/>
      <c r="AA17" s="44">
        <f>Table_2[[#This Row],[Date]]</f>
        <v>43578</v>
      </c>
      <c r="AB17" s="42">
        <f t="shared" si="0"/>
        <v>1660.97</v>
      </c>
      <c r="AC17" s="42">
        <f t="shared" si="1"/>
        <v>2909.99</v>
      </c>
      <c r="AD17" s="42" t="str">
        <f>REPLACE(Table_2[[#This Row],[Open]],6,1,"")</f>
        <v>2,90999</v>
      </c>
      <c r="AE17" s="44">
        <v>43578</v>
      </c>
      <c r="AF17" s="42" t="s">
        <v>441</v>
      </c>
      <c r="AG17" s="42" t="s">
        <v>258</v>
      </c>
      <c r="AH17" s="42" t="s">
        <v>356</v>
      </c>
      <c r="AI17" s="42" t="s">
        <v>176</v>
      </c>
      <c r="AJ17" s="42" t="s">
        <v>176</v>
      </c>
      <c r="AK17" s="42" t="s">
        <v>485</v>
      </c>
      <c r="AM17">
        <f t="shared" si="2"/>
        <v>1660.97</v>
      </c>
      <c r="AN17" t="str">
        <f>REPLACE(Table_2__2[[#This Row],[Open]],6,1,"")</f>
        <v>1,66097</v>
      </c>
      <c r="AO17" s="44">
        <v>43573</v>
      </c>
      <c r="AP17" s="42" t="s">
        <v>622</v>
      </c>
      <c r="AQ17" s="42" t="s">
        <v>623</v>
      </c>
      <c r="AR17" s="42" t="s">
        <v>624</v>
      </c>
      <c r="AS17" s="42" t="s">
        <v>625</v>
      </c>
      <c r="AT17" s="42" t="s">
        <v>625</v>
      </c>
      <c r="AU17" s="42" t="s">
        <v>12</v>
      </c>
      <c r="AX17" s="42"/>
      <c r="AY17" s="42"/>
      <c r="AZ17" s="42"/>
      <c r="BA17" s="42"/>
      <c r="BB17" s="42"/>
      <c r="BC17" s="42"/>
      <c r="BD17" s="42"/>
      <c r="BE17" s="42"/>
      <c r="BF17" s="42"/>
    </row>
    <row r="18" spans="1:58" x14ac:dyDescent="0.3">
      <c r="A18" s="1" t="s">
        <v>22</v>
      </c>
      <c r="B18" s="1">
        <v>39240000</v>
      </c>
      <c r="C18" s="1">
        <v>16571000</v>
      </c>
      <c r="D18" s="1">
        <v>25489000</v>
      </c>
      <c r="E18" s="1">
        <v>20539000</v>
      </c>
      <c r="F18" s="1"/>
      <c r="G18" s="1" t="s">
        <v>41</v>
      </c>
      <c r="H18" s="1">
        <v>35699000</v>
      </c>
      <c r="I18" s="1">
        <v>35707000</v>
      </c>
      <c r="J18" s="1">
        <v>22986000</v>
      </c>
      <c r="K18" s="1">
        <v>20796000</v>
      </c>
      <c r="M18" t="s">
        <v>70</v>
      </c>
      <c r="N18" s="1">
        <v>-15773000</v>
      </c>
      <c r="O18" s="1">
        <v>-6061000</v>
      </c>
      <c r="P18" s="1">
        <v>-46781000</v>
      </c>
      <c r="Q18" s="1">
        <v>-23950000</v>
      </c>
      <c r="X18" s="50"/>
      <c r="Y18" s="1">
        <v>15</v>
      </c>
      <c r="Z18" s="42"/>
      <c r="AA18" s="44">
        <f>Table_2[[#This Row],[Date]]</f>
        <v>43577</v>
      </c>
      <c r="AB18" s="42">
        <f t="shared" si="0"/>
        <v>1647.69</v>
      </c>
      <c r="AC18" s="42">
        <f t="shared" si="1"/>
        <v>2898.78</v>
      </c>
      <c r="AD18" s="42" t="str">
        <f>REPLACE(Table_2[[#This Row],[Open]],6,1,"")</f>
        <v>2,89878</v>
      </c>
      <c r="AE18" s="44">
        <v>43577</v>
      </c>
      <c r="AF18" s="42" t="s">
        <v>437</v>
      </c>
      <c r="AG18" s="42" t="s">
        <v>252</v>
      </c>
      <c r="AH18" s="42" t="s">
        <v>352</v>
      </c>
      <c r="AI18" s="42" t="s">
        <v>170</v>
      </c>
      <c r="AJ18" s="42" t="s">
        <v>170</v>
      </c>
      <c r="AK18" s="42" t="s">
        <v>486</v>
      </c>
      <c r="AM18">
        <f t="shared" si="2"/>
        <v>1647.69</v>
      </c>
      <c r="AN18" t="str">
        <f>REPLACE(Table_2__2[[#This Row],[Open]],6,1,"")</f>
        <v>1,64769</v>
      </c>
      <c r="AO18" s="44">
        <v>43572</v>
      </c>
      <c r="AP18" s="42" t="s">
        <v>626</v>
      </c>
      <c r="AQ18" s="42" t="s">
        <v>627</v>
      </c>
      <c r="AR18" s="42" t="s">
        <v>628</v>
      </c>
      <c r="AS18" s="42" t="s">
        <v>629</v>
      </c>
      <c r="AT18" s="42" t="s">
        <v>629</v>
      </c>
      <c r="AU18" s="42" t="s">
        <v>12</v>
      </c>
      <c r="AX18" s="42"/>
      <c r="AY18" s="42"/>
      <c r="AZ18" s="42"/>
      <c r="BA18" s="42"/>
      <c r="BB18" s="42"/>
      <c r="BC18" s="42"/>
      <c r="BD18" s="42"/>
      <c r="BE18" s="42"/>
      <c r="BF18" s="42"/>
    </row>
    <row r="19" spans="1:58" x14ac:dyDescent="0.3">
      <c r="A19" s="1"/>
      <c r="B19" s="1"/>
      <c r="C19" s="1"/>
      <c r="D19" s="1"/>
      <c r="G19" t="s">
        <v>42</v>
      </c>
      <c r="H19" s="1" t="s">
        <v>12</v>
      </c>
      <c r="I19" s="1" t="s">
        <v>12</v>
      </c>
      <c r="J19" s="1" t="s">
        <v>12</v>
      </c>
      <c r="K19" s="1" t="s">
        <v>12</v>
      </c>
      <c r="M19" t="s">
        <v>71</v>
      </c>
      <c r="N19" s="1">
        <v>-36887000</v>
      </c>
      <c r="O19" s="1">
        <v>-33590000</v>
      </c>
      <c r="P19" s="1">
        <v>8408000</v>
      </c>
      <c r="Q19" s="1">
        <v>-8393000</v>
      </c>
      <c r="X19" s="50"/>
      <c r="Y19" s="1">
        <v>16</v>
      </c>
      <c r="Z19" s="42"/>
      <c r="AA19" s="44">
        <f>Table_2[[#This Row],[Date]]</f>
        <v>43573</v>
      </c>
      <c r="AB19" s="42">
        <f t="shared" si="0"/>
        <v>1642.16</v>
      </c>
      <c r="AC19" s="42">
        <f t="shared" si="1"/>
        <v>2904.81</v>
      </c>
      <c r="AD19" s="42" t="str">
        <f>REPLACE(Table_2[[#This Row],[Open]],6,1,"")</f>
        <v>2,90481</v>
      </c>
      <c r="AE19" s="44">
        <v>43573</v>
      </c>
      <c r="AF19" s="42" t="s">
        <v>439</v>
      </c>
      <c r="AG19" s="42" t="s">
        <v>251</v>
      </c>
      <c r="AH19" s="42" t="s">
        <v>350</v>
      </c>
      <c r="AI19" s="42" t="s">
        <v>166</v>
      </c>
      <c r="AJ19" s="42" t="s">
        <v>166</v>
      </c>
      <c r="AK19" s="42" t="s">
        <v>487</v>
      </c>
      <c r="AM19">
        <f t="shared" si="2"/>
        <v>1642.16</v>
      </c>
      <c r="AN19" t="str">
        <f>REPLACE(Table_2__2[[#This Row],[Open]],6,1,"")</f>
        <v>1,64216</v>
      </c>
      <c r="AO19" s="44">
        <v>43571</v>
      </c>
      <c r="AP19" s="42" t="s">
        <v>630</v>
      </c>
      <c r="AQ19" s="42" t="s">
        <v>631</v>
      </c>
      <c r="AR19" s="42" t="s">
        <v>630</v>
      </c>
      <c r="AS19" s="42" t="s">
        <v>632</v>
      </c>
      <c r="AT19" s="42" t="s">
        <v>632</v>
      </c>
      <c r="AU19" s="42" t="s">
        <v>12</v>
      </c>
      <c r="AX19" s="42"/>
      <c r="AY19" s="42"/>
      <c r="AZ19" s="42"/>
      <c r="BA19" s="42"/>
      <c r="BB19" s="42"/>
      <c r="BC19" s="42"/>
      <c r="BD19" s="42"/>
      <c r="BE19" s="42"/>
      <c r="BF19" s="42"/>
    </row>
    <row r="20" spans="1:58" x14ac:dyDescent="0.3">
      <c r="A20" s="1"/>
      <c r="B20" s="1"/>
      <c r="C20" s="1"/>
      <c r="D20" s="1"/>
      <c r="G20" t="s">
        <v>43</v>
      </c>
      <c r="H20" s="1" t="s">
        <v>12</v>
      </c>
      <c r="I20" s="1" t="s">
        <v>12</v>
      </c>
      <c r="J20" s="1" t="s">
        <v>12</v>
      </c>
      <c r="K20" s="1" t="s">
        <v>12</v>
      </c>
      <c r="M20" t="s">
        <v>72</v>
      </c>
      <c r="N20" s="1"/>
      <c r="O20" s="1"/>
      <c r="P20" s="1"/>
      <c r="Q20" s="1"/>
      <c r="Y20" s="1">
        <v>17</v>
      </c>
      <c r="Z20" s="42"/>
      <c r="AA20" s="44">
        <f>Table_2[[#This Row],[Date]]</f>
        <v>43572</v>
      </c>
      <c r="AB20" s="42">
        <f t="shared" si="0"/>
        <v>1641.21</v>
      </c>
      <c r="AC20" s="42">
        <f t="shared" si="1"/>
        <v>2916.04</v>
      </c>
      <c r="AD20" s="42" t="str">
        <f>REPLACE(Table_2[[#This Row],[Open]],6,1,"")</f>
        <v>2,91604</v>
      </c>
      <c r="AE20" s="44">
        <v>43572</v>
      </c>
      <c r="AF20" s="42" t="s">
        <v>443</v>
      </c>
      <c r="AG20" s="42" t="s">
        <v>256</v>
      </c>
      <c r="AH20" s="42" t="s">
        <v>351</v>
      </c>
      <c r="AI20" s="42" t="s">
        <v>165</v>
      </c>
      <c r="AJ20" s="42" t="s">
        <v>165</v>
      </c>
      <c r="AK20" s="42" t="s">
        <v>488</v>
      </c>
      <c r="AM20">
        <f t="shared" si="2"/>
        <v>1641.21</v>
      </c>
      <c r="AN20" t="str">
        <f>REPLACE(Table_2__2[[#This Row],[Open]],6,1,"")</f>
        <v>1,64121</v>
      </c>
      <c r="AO20" s="44">
        <v>43570</v>
      </c>
      <c r="AP20" s="42" t="s">
        <v>633</v>
      </c>
      <c r="AQ20" s="42" t="s">
        <v>634</v>
      </c>
      <c r="AR20" s="42" t="s">
        <v>635</v>
      </c>
      <c r="AS20" s="42" t="s">
        <v>636</v>
      </c>
      <c r="AT20" s="42" t="s">
        <v>636</v>
      </c>
      <c r="AU20" s="42" t="s">
        <v>12</v>
      </c>
      <c r="AX20" s="42"/>
      <c r="AY20" s="42"/>
      <c r="AZ20" s="42"/>
      <c r="BA20" s="42"/>
      <c r="BB20" s="42"/>
      <c r="BC20" s="42"/>
      <c r="BD20" s="42"/>
      <c r="BE20" s="42"/>
      <c r="BF20" s="42"/>
    </row>
    <row r="21" spans="1:58" x14ac:dyDescent="0.3">
      <c r="A21" s="1"/>
      <c r="B21" s="1"/>
      <c r="C21" s="1"/>
      <c r="D21" s="1"/>
      <c r="G21" t="s">
        <v>44</v>
      </c>
      <c r="H21" s="1" t="s">
        <v>12</v>
      </c>
      <c r="I21" s="1" t="s">
        <v>12</v>
      </c>
      <c r="J21" s="1" t="s">
        <v>12</v>
      </c>
      <c r="K21" s="1" t="s">
        <v>12</v>
      </c>
      <c r="N21" s="48"/>
      <c r="Y21" s="1">
        <v>18</v>
      </c>
      <c r="Z21" s="42"/>
      <c r="AA21" s="44">
        <f>Table_2[[#This Row],[Date]]</f>
        <v>43571</v>
      </c>
      <c r="AB21" s="42">
        <f t="shared" si="0"/>
        <v>1627.02</v>
      </c>
      <c r="AC21" s="42">
        <f t="shared" si="1"/>
        <v>2912.26</v>
      </c>
      <c r="AD21" s="42" t="str">
        <f>REPLACE(Table_2[[#This Row],[Open]],6,1,"")</f>
        <v>2,91226</v>
      </c>
      <c r="AE21" s="44">
        <v>43571</v>
      </c>
      <c r="AF21" s="42" t="s">
        <v>442</v>
      </c>
      <c r="AG21" s="42" t="s">
        <v>255</v>
      </c>
      <c r="AH21" s="42" t="s">
        <v>355</v>
      </c>
      <c r="AI21" s="42" t="s">
        <v>168</v>
      </c>
      <c r="AJ21" s="42" t="s">
        <v>168</v>
      </c>
      <c r="AK21" s="42" t="s">
        <v>489</v>
      </c>
      <c r="AM21">
        <f t="shared" si="2"/>
        <v>1627.02</v>
      </c>
      <c r="AN21" t="str">
        <f>REPLACE(Table_2__2[[#This Row],[Open]],6,1,"")</f>
        <v>1,62702</v>
      </c>
      <c r="AO21" s="44">
        <v>43567</v>
      </c>
      <c r="AP21" s="42" t="s">
        <v>637</v>
      </c>
      <c r="AQ21" s="42" t="s">
        <v>638</v>
      </c>
      <c r="AR21" s="42" t="s">
        <v>639</v>
      </c>
      <c r="AS21" s="42" t="s">
        <v>633</v>
      </c>
      <c r="AT21" s="42" t="s">
        <v>633</v>
      </c>
      <c r="AU21" s="42" t="s">
        <v>12</v>
      </c>
      <c r="AX21" s="42"/>
      <c r="AY21" s="42"/>
      <c r="AZ21" s="42"/>
      <c r="BA21" s="42"/>
      <c r="BB21" s="42"/>
      <c r="BC21" s="42"/>
      <c r="BD21" s="42"/>
      <c r="BE21" s="42"/>
      <c r="BF21" s="42"/>
    </row>
    <row r="22" spans="1:58" x14ac:dyDescent="0.3">
      <c r="A22" s="1"/>
      <c r="B22" s="1"/>
      <c r="C22" s="1"/>
      <c r="D22" s="1"/>
      <c r="G22" t="s">
        <v>45</v>
      </c>
      <c r="H22" s="1" t="s">
        <v>12</v>
      </c>
      <c r="I22" s="1" t="s">
        <v>12</v>
      </c>
      <c r="J22" s="1" t="s">
        <v>12</v>
      </c>
      <c r="K22" s="1" t="s">
        <v>12</v>
      </c>
      <c r="N22" s="48"/>
      <c r="Y22" s="1">
        <v>19</v>
      </c>
      <c r="Z22" s="42"/>
      <c r="AA22" s="44">
        <f>Table_2[[#This Row],[Date]]</f>
        <v>43570</v>
      </c>
      <c r="AB22" s="42">
        <f t="shared" si="0"/>
        <v>1626.78</v>
      </c>
      <c r="AC22" s="42">
        <f t="shared" si="1"/>
        <v>2908.32</v>
      </c>
      <c r="AD22" s="42" t="str">
        <f>REPLACE(Table_2[[#This Row],[Open]],6,1,"")</f>
        <v>2,90832</v>
      </c>
      <c r="AE22" s="44">
        <v>43570</v>
      </c>
      <c r="AF22" s="42" t="s">
        <v>440</v>
      </c>
      <c r="AG22" s="42" t="s">
        <v>253</v>
      </c>
      <c r="AH22" s="42" t="s">
        <v>353</v>
      </c>
      <c r="AI22" s="42" t="s">
        <v>167</v>
      </c>
      <c r="AJ22" s="42" t="s">
        <v>167</v>
      </c>
      <c r="AK22" s="42" t="s">
        <v>490</v>
      </c>
      <c r="AM22">
        <f t="shared" si="2"/>
        <v>1626.78</v>
      </c>
      <c r="AN22" t="str">
        <f>REPLACE(Table_2__2[[#This Row],[Open]],6,1,"")</f>
        <v>1,62678</v>
      </c>
      <c r="AO22" s="44">
        <v>43566</v>
      </c>
      <c r="AP22" s="42" t="s">
        <v>640</v>
      </c>
      <c r="AQ22" s="42" t="s">
        <v>641</v>
      </c>
      <c r="AR22" s="42" t="s">
        <v>642</v>
      </c>
      <c r="AS22" s="42" t="s">
        <v>643</v>
      </c>
      <c r="AT22" s="42" t="s">
        <v>643</v>
      </c>
      <c r="AU22" s="42" t="s">
        <v>12</v>
      </c>
      <c r="AX22" s="42"/>
      <c r="AY22" s="42"/>
      <c r="AZ22" s="42"/>
      <c r="BA22" s="42"/>
      <c r="BB22" s="42"/>
      <c r="BC22" s="42"/>
      <c r="BD22" s="42"/>
      <c r="BE22" s="42"/>
      <c r="BF22" s="42"/>
    </row>
    <row r="23" spans="1:58" x14ac:dyDescent="0.3">
      <c r="A23" s="1"/>
      <c r="B23" s="1"/>
      <c r="C23" s="1"/>
      <c r="D23" s="1"/>
      <c r="G23" t="s">
        <v>46</v>
      </c>
      <c r="H23" s="1" t="s">
        <v>12</v>
      </c>
      <c r="I23" s="1" t="s">
        <v>12</v>
      </c>
      <c r="J23" s="1" t="s">
        <v>12</v>
      </c>
      <c r="K23" s="1" t="s">
        <v>12</v>
      </c>
      <c r="N23" s="48"/>
      <c r="Y23" s="1">
        <v>20</v>
      </c>
      <c r="Z23" s="42"/>
      <c r="AA23" s="44">
        <f>Table_2[[#This Row],[Date]]</f>
        <v>43567</v>
      </c>
      <c r="AB23" s="42">
        <f t="shared" si="0"/>
        <v>1616.15</v>
      </c>
      <c r="AC23" s="42">
        <f t="shared" si="1"/>
        <v>2900.86</v>
      </c>
      <c r="AD23" s="42" t="str">
        <f>REPLACE(Table_2[[#This Row],[Open]],6,1,"")</f>
        <v>2,90086</v>
      </c>
      <c r="AE23" s="44">
        <v>43567</v>
      </c>
      <c r="AF23" s="42" t="s">
        <v>438</v>
      </c>
      <c r="AG23" s="42" t="s">
        <v>254</v>
      </c>
      <c r="AH23" s="42" t="s">
        <v>354</v>
      </c>
      <c r="AI23" s="42" t="s">
        <v>169</v>
      </c>
      <c r="AJ23" s="42" t="s">
        <v>169</v>
      </c>
      <c r="AK23" s="42" t="s">
        <v>491</v>
      </c>
      <c r="AM23">
        <f t="shared" si="2"/>
        <v>1616.15</v>
      </c>
      <c r="AN23" t="str">
        <f>REPLACE(Table_2__2[[#This Row],[Open]],6,1,"")</f>
        <v>1,61615</v>
      </c>
      <c r="AO23" s="44">
        <v>43565</v>
      </c>
      <c r="AP23" s="42" t="s">
        <v>644</v>
      </c>
      <c r="AQ23" s="42" t="s">
        <v>645</v>
      </c>
      <c r="AR23" s="42" t="s">
        <v>646</v>
      </c>
      <c r="AS23" s="42" t="s">
        <v>647</v>
      </c>
      <c r="AT23" s="42" t="s">
        <v>647</v>
      </c>
      <c r="AU23" s="42" t="s">
        <v>12</v>
      </c>
      <c r="AX23" s="42"/>
      <c r="AY23" s="42"/>
      <c r="AZ23" s="42"/>
      <c r="BA23" s="42"/>
      <c r="BB23" s="42"/>
      <c r="BC23" s="42"/>
      <c r="BD23" s="42"/>
      <c r="BE23" s="42"/>
      <c r="BF23" s="42"/>
    </row>
    <row r="24" spans="1:58" x14ac:dyDescent="0.3">
      <c r="A24" s="1"/>
      <c r="B24" s="1"/>
      <c r="C24" s="1"/>
      <c r="D24" s="1"/>
      <c r="G24" t="s">
        <v>47</v>
      </c>
      <c r="H24" s="1" t="s">
        <v>12</v>
      </c>
      <c r="I24" s="1" t="s">
        <v>12</v>
      </c>
      <c r="J24" s="1" t="s">
        <v>12</v>
      </c>
      <c r="K24" s="1" t="s">
        <v>12</v>
      </c>
      <c r="N24" s="48"/>
      <c r="Y24" s="1">
        <v>21</v>
      </c>
      <c r="Z24" s="42"/>
      <c r="AA24" s="44">
        <f>Table_2[[#This Row],[Date]]</f>
        <v>43566</v>
      </c>
      <c r="AB24" s="42">
        <f t="shared" si="0"/>
        <v>1625.37</v>
      </c>
      <c r="AC24" s="42">
        <f t="shared" si="1"/>
        <v>2891.92</v>
      </c>
      <c r="AD24" s="42" t="str">
        <f>REPLACE(Table_2[[#This Row],[Open]],6,1,"")</f>
        <v>2,89192</v>
      </c>
      <c r="AE24" s="44">
        <v>43566</v>
      </c>
      <c r="AF24" s="42" t="s">
        <v>436</v>
      </c>
      <c r="AG24" s="42" t="s">
        <v>249</v>
      </c>
      <c r="AH24" s="42" t="s">
        <v>348</v>
      </c>
      <c r="AI24" s="42" t="s">
        <v>162</v>
      </c>
      <c r="AJ24" s="42" t="s">
        <v>162</v>
      </c>
      <c r="AK24" s="42" t="s">
        <v>492</v>
      </c>
      <c r="AM24">
        <f t="shared" si="2"/>
        <v>1625.37</v>
      </c>
      <c r="AN24" t="str">
        <f>REPLACE(Table_2__2[[#This Row],[Open]],6,1,"")</f>
        <v>1,62537</v>
      </c>
      <c r="AO24" s="44">
        <v>43564</v>
      </c>
      <c r="AP24" s="42" t="s">
        <v>648</v>
      </c>
      <c r="AQ24" s="42" t="s">
        <v>649</v>
      </c>
      <c r="AR24" s="42" t="s">
        <v>650</v>
      </c>
      <c r="AS24" s="42" t="s">
        <v>651</v>
      </c>
      <c r="AT24" s="42" t="s">
        <v>651</v>
      </c>
      <c r="AU24" s="42" t="s">
        <v>12</v>
      </c>
      <c r="AX24" s="42"/>
      <c r="AY24" s="42"/>
      <c r="AZ24" s="42"/>
      <c r="BA24" s="42"/>
      <c r="BB24" s="42"/>
      <c r="BC24" s="42"/>
      <c r="BD24" s="42"/>
      <c r="BE24" s="42"/>
      <c r="BF24" s="42"/>
    </row>
    <row r="25" spans="1:58" x14ac:dyDescent="0.3">
      <c r="G25" t="s">
        <v>48</v>
      </c>
      <c r="H25" s="1">
        <v>78520000</v>
      </c>
      <c r="I25" s="1">
        <v>71223000</v>
      </c>
      <c r="J25" s="1">
        <v>69315000</v>
      </c>
      <c r="K25" s="1">
        <v>68178000</v>
      </c>
      <c r="N25" s="48"/>
      <c r="Y25" s="1">
        <v>22</v>
      </c>
      <c r="Z25" s="42"/>
      <c r="AA25" s="44">
        <f>Table_2[[#This Row],[Date]]</f>
        <v>43565</v>
      </c>
      <c r="AB25" s="42">
        <f t="shared" si="0"/>
        <v>1621.9</v>
      </c>
      <c r="AC25" s="42">
        <f t="shared" si="1"/>
        <v>2881.37</v>
      </c>
      <c r="AD25" s="42" t="str">
        <f>REPLACE(Table_2[[#This Row],[Open]],6,1,"")</f>
        <v>2,88137</v>
      </c>
      <c r="AE25" s="44">
        <v>43565</v>
      </c>
      <c r="AF25" s="42" t="s">
        <v>432</v>
      </c>
      <c r="AG25" s="42" t="s">
        <v>247</v>
      </c>
      <c r="AH25" s="42" t="s">
        <v>346</v>
      </c>
      <c r="AI25" s="42" t="s">
        <v>161</v>
      </c>
      <c r="AJ25" s="42" t="s">
        <v>161</v>
      </c>
      <c r="AK25" s="42" t="s">
        <v>493</v>
      </c>
      <c r="AM25">
        <f t="shared" si="2"/>
        <v>1621.9</v>
      </c>
      <c r="AN25" t="str">
        <f>REPLACE(Table_2__2[[#This Row],[Open]],6,1,"")</f>
        <v>1,62190</v>
      </c>
      <c r="AO25" s="44">
        <v>43563</v>
      </c>
      <c r="AP25" s="42" t="s">
        <v>652</v>
      </c>
      <c r="AQ25" s="42" t="s">
        <v>653</v>
      </c>
      <c r="AR25" s="42" t="s">
        <v>654</v>
      </c>
      <c r="AS25" s="42" t="s">
        <v>653</v>
      </c>
      <c r="AT25" s="42" t="s">
        <v>653</v>
      </c>
      <c r="AU25" s="42" t="s">
        <v>12</v>
      </c>
      <c r="AX25" s="42"/>
      <c r="AY25" s="42"/>
      <c r="AZ25" s="42"/>
      <c r="BA25" s="42"/>
      <c r="BB25" s="42"/>
      <c r="BC25" s="42"/>
      <c r="BD25" s="42"/>
      <c r="BE25" s="42"/>
      <c r="BF25" s="42"/>
    </row>
    <row r="26" spans="1:58" x14ac:dyDescent="0.3">
      <c r="G26" t="s">
        <v>49</v>
      </c>
      <c r="H26" s="1">
        <v>24150000</v>
      </c>
      <c r="I26" s="1">
        <v>13682000</v>
      </c>
      <c r="J26" s="1">
        <v>17769000</v>
      </c>
      <c r="K26" s="1">
        <v>2282000</v>
      </c>
      <c r="N26" s="48"/>
      <c r="Y26" s="1">
        <v>23</v>
      </c>
      <c r="Z26" s="42"/>
      <c r="AA26" s="44">
        <f>Table_2[[#This Row],[Date]]</f>
        <v>43564</v>
      </c>
      <c r="AB26" s="42">
        <f t="shared" si="0"/>
        <v>1616.36</v>
      </c>
      <c r="AC26" s="42">
        <f t="shared" si="1"/>
        <v>2886.58</v>
      </c>
      <c r="AD26" s="42" t="str">
        <f>REPLACE(Table_2[[#This Row],[Open]],6,1,"")</f>
        <v>2,88658</v>
      </c>
      <c r="AE26" s="44">
        <v>43564</v>
      </c>
      <c r="AF26" s="42" t="s">
        <v>434</v>
      </c>
      <c r="AG26" s="42" t="s">
        <v>246</v>
      </c>
      <c r="AH26" s="42" t="s">
        <v>345</v>
      </c>
      <c r="AI26" s="42" t="s">
        <v>156</v>
      </c>
      <c r="AJ26" s="42" t="s">
        <v>156</v>
      </c>
      <c r="AK26" s="42" t="s">
        <v>494</v>
      </c>
      <c r="AM26">
        <f t="shared" si="2"/>
        <v>1616.36</v>
      </c>
      <c r="AN26" t="str">
        <f>REPLACE(Table_2__2[[#This Row],[Open]],6,1,"")</f>
        <v>1,61636</v>
      </c>
      <c r="AO26" s="44">
        <v>43560</v>
      </c>
      <c r="AP26" s="42" t="s">
        <v>655</v>
      </c>
      <c r="AQ26" s="42" t="s">
        <v>656</v>
      </c>
      <c r="AR26" s="42" t="s">
        <v>657</v>
      </c>
      <c r="AS26" s="42" t="s">
        <v>658</v>
      </c>
      <c r="AT26" s="42" t="s">
        <v>658</v>
      </c>
      <c r="AU26" s="42" t="s">
        <v>12</v>
      </c>
      <c r="AX26" s="42"/>
      <c r="AY26" s="42"/>
      <c r="AZ26" s="42"/>
      <c r="BA26" s="42"/>
      <c r="BB26" s="42"/>
      <c r="BC26" s="42"/>
      <c r="BD26" s="42"/>
      <c r="BE26" s="42"/>
      <c r="BF26" s="42"/>
    </row>
    <row r="27" spans="1:58" x14ac:dyDescent="0.3">
      <c r="G27" t="s">
        <v>50</v>
      </c>
      <c r="H27" s="1">
        <v>-340000</v>
      </c>
      <c r="I27" s="1">
        <v>-2187000</v>
      </c>
      <c r="J27" s="1">
        <v>627000</v>
      </c>
      <c r="K27" s="1">
        <v>1537000</v>
      </c>
      <c r="N27" s="48"/>
      <c r="Y27" s="1">
        <v>24</v>
      </c>
      <c r="Z27" s="42"/>
      <c r="AA27" s="44">
        <f>Table_2[[#This Row],[Date]]</f>
        <v>43563</v>
      </c>
      <c r="AB27" s="42">
        <f t="shared" si="0"/>
        <v>1622.75</v>
      </c>
      <c r="AC27" s="42">
        <f t="shared" si="1"/>
        <v>2888.46</v>
      </c>
      <c r="AD27" s="42" t="str">
        <f>REPLACE(Table_2[[#This Row],[Open]],6,1,"")</f>
        <v>2,88846</v>
      </c>
      <c r="AE27" s="44">
        <v>43563</v>
      </c>
      <c r="AF27" s="42" t="s">
        <v>435</v>
      </c>
      <c r="AG27" s="42" t="s">
        <v>250</v>
      </c>
      <c r="AH27" s="42" t="s">
        <v>347</v>
      </c>
      <c r="AI27" s="42" t="s">
        <v>164</v>
      </c>
      <c r="AJ27" s="42" t="s">
        <v>164</v>
      </c>
      <c r="AK27" s="42" t="s">
        <v>495</v>
      </c>
      <c r="AM27">
        <f t="shared" si="2"/>
        <v>1622.75</v>
      </c>
      <c r="AN27" t="str">
        <f>REPLACE(Table_2__2[[#This Row],[Open]],6,1,"")</f>
        <v>1,62275</v>
      </c>
      <c r="AO27" s="44">
        <v>43559</v>
      </c>
      <c r="AP27" s="42" t="s">
        <v>659</v>
      </c>
      <c r="AQ27" s="42" t="s">
        <v>659</v>
      </c>
      <c r="AR27" s="42" t="s">
        <v>660</v>
      </c>
      <c r="AS27" s="42" t="s">
        <v>661</v>
      </c>
      <c r="AT27" s="42" t="s">
        <v>661</v>
      </c>
      <c r="AU27" s="42" t="s">
        <v>12</v>
      </c>
      <c r="AX27" s="42"/>
      <c r="AY27" s="42"/>
      <c r="AZ27" s="42"/>
      <c r="BA27" s="42"/>
      <c r="BB27" s="42"/>
      <c r="BC27" s="42"/>
      <c r="BD27" s="42"/>
      <c r="BE27" s="42"/>
      <c r="BF27" s="42"/>
    </row>
    <row r="28" spans="1:58" x14ac:dyDescent="0.3">
      <c r="G28" t="s">
        <v>51</v>
      </c>
      <c r="H28" s="1" t="s">
        <v>12</v>
      </c>
      <c r="I28" s="1" t="s">
        <v>12</v>
      </c>
      <c r="J28" s="1" t="s">
        <v>12</v>
      </c>
      <c r="K28" s="1" t="s">
        <v>12</v>
      </c>
      <c r="N28" s="48"/>
      <c r="Y28" s="1">
        <v>25</v>
      </c>
      <c r="Z28" s="42"/>
      <c r="AA28" s="44">
        <f>Table_2[[#This Row],[Date]]</f>
        <v>43560</v>
      </c>
      <c r="AB28" s="42">
        <f t="shared" si="0"/>
        <v>1596.04</v>
      </c>
      <c r="AC28" s="42">
        <f t="shared" si="1"/>
        <v>2884.16</v>
      </c>
      <c r="AD28" s="42" t="str">
        <f>REPLACE(Table_2[[#This Row],[Open]],6,1,"")</f>
        <v>2,88416</v>
      </c>
      <c r="AE28" s="44">
        <v>43560</v>
      </c>
      <c r="AF28" s="42" t="s">
        <v>433</v>
      </c>
      <c r="AG28" s="42" t="s">
        <v>248</v>
      </c>
      <c r="AH28" s="42" t="s">
        <v>349</v>
      </c>
      <c r="AI28" s="42" t="s">
        <v>163</v>
      </c>
      <c r="AJ28" s="42" t="s">
        <v>163</v>
      </c>
      <c r="AK28" s="42" t="s">
        <v>496</v>
      </c>
      <c r="AM28">
        <f t="shared" si="2"/>
        <v>1596.04</v>
      </c>
      <c r="AN28" t="str">
        <f>REPLACE(Table_2__2[[#This Row],[Open]],6,1,"")</f>
        <v>1,59604</v>
      </c>
      <c r="AO28" s="44">
        <v>43558</v>
      </c>
      <c r="AP28" s="42" t="s">
        <v>662</v>
      </c>
      <c r="AQ28" s="42" t="s">
        <v>663</v>
      </c>
      <c r="AR28" s="42" t="s">
        <v>662</v>
      </c>
      <c r="AS28" s="42" t="s">
        <v>663</v>
      </c>
      <c r="AT28" s="42" t="s">
        <v>663</v>
      </c>
      <c r="AU28" s="42" t="s">
        <v>12</v>
      </c>
      <c r="AX28" s="42"/>
      <c r="AY28" s="42"/>
      <c r="AZ28" s="42"/>
      <c r="BA28" s="42"/>
      <c r="BB28" s="42"/>
      <c r="BC28" s="42"/>
      <c r="BD28" s="42"/>
      <c r="BE28" s="42"/>
      <c r="BF28" s="42"/>
    </row>
    <row r="29" spans="1:58" x14ac:dyDescent="0.3">
      <c r="G29" t="s">
        <v>52</v>
      </c>
      <c r="H29" s="1">
        <v>-340000</v>
      </c>
      <c r="I29" s="1">
        <v>-2187000</v>
      </c>
      <c r="J29" s="1">
        <v>627000</v>
      </c>
      <c r="K29" s="1">
        <v>1537000</v>
      </c>
      <c r="N29" s="48"/>
      <c r="Y29" s="1">
        <v>26</v>
      </c>
      <c r="Z29" s="42"/>
      <c r="AA29" s="44">
        <f>Table_2[[#This Row],[Date]]</f>
        <v>43559</v>
      </c>
      <c r="AB29" s="42">
        <f t="shared" si="0"/>
        <v>1580.66</v>
      </c>
      <c r="AC29" s="42">
        <f t="shared" si="1"/>
        <v>2873.99</v>
      </c>
      <c r="AD29" s="42" t="str">
        <f>REPLACE(Table_2[[#This Row],[Open]],6,1,"")</f>
        <v>2,87399</v>
      </c>
      <c r="AE29" s="44">
        <v>43559</v>
      </c>
      <c r="AF29" s="42" t="s">
        <v>430</v>
      </c>
      <c r="AG29" s="42" t="s">
        <v>244</v>
      </c>
      <c r="AH29" s="42" t="s">
        <v>344</v>
      </c>
      <c r="AI29" s="42" t="s">
        <v>157</v>
      </c>
      <c r="AJ29" s="42" t="s">
        <v>157</v>
      </c>
      <c r="AK29" s="42" t="s">
        <v>497</v>
      </c>
      <c r="AM29">
        <f t="shared" si="2"/>
        <v>1580.66</v>
      </c>
      <c r="AN29" t="str">
        <f>REPLACE(Table_2__2[[#This Row],[Open]],6,1,"")</f>
        <v>1,58066</v>
      </c>
      <c r="AO29" s="44">
        <v>43557</v>
      </c>
      <c r="AP29" s="42" t="s">
        <v>664</v>
      </c>
      <c r="AQ29" s="42" t="s">
        <v>665</v>
      </c>
      <c r="AR29" s="42" t="s">
        <v>666</v>
      </c>
      <c r="AS29" s="42" t="s">
        <v>667</v>
      </c>
      <c r="AT29" s="42" t="s">
        <v>667</v>
      </c>
      <c r="AU29" s="42" t="s">
        <v>12</v>
      </c>
      <c r="AX29" s="42"/>
      <c r="AY29" s="42"/>
      <c r="AZ29" s="42"/>
      <c r="BA29" s="42"/>
      <c r="BB29" s="42"/>
      <c r="BC29" s="42"/>
      <c r="BD29" s="42"/>
      <c r="BE29" s="42"/>
      <c r="BF29" s="42"/>
    </row>
    <row r="30" spans="1:58" x14ac:dyDescent="0.3">
      <c r="G30" s="4" t="s">
        <v>53</v>
      </c>
      <c r="H30" s="5">
        <v>102330000</v>
      </c>
      <c r="I30" s="5">
        <v>82718000</v>
      </c>
      <c r="J30" s="5">
        <v>87711000</v>
      </c>
      <c r="K30" s="5">
        <v>71997000</v>
      </c>
      <c r="N30" s="48"/>
      <c r="Y30" s="1">
        <v>27</v>
      </c>
      <c r="Z30" s="42"/>
      <c r="AA30" s="44">
        <f>Table_2[[#This Row],[Date]]</f>
        <v>43558</v>
      </c>
      <c r="AB30" s="42">
        <f t="shared" si="0"/>
        <v>1554.92</v>
      </c>
      <c r="AC30" s="42">
        <f t="shared" si="1"/>
        <v>2876.09</v>
      </c>
      <c r="AD30" s="42" t="str">
        <f>REPLACE(Table_2[[#This Row],[Open]],6,1,"")</f>
        <v>2,87609</v>
      </c>
      <c r="AE30" s="44">
        <v>43558</v>
      </c>
      <c r="AF30" s="42" t="s">
        <v>431</v>
      </c>
      <c r="AG30" s="42" t="s">
        <v>245</v>
      </c>
      <c r="AH30" s="42" t="s">
        <v>343</v>
      </c>
      <c r="AI30" s="42" t="s">
        <v>155</v>
      </c>
      <c r="AJ30" s="42" t="s">
        <v>155</v>
      </c>
      <c r="AK30" s="42" t="s">
        <v>498</v>
      </c>
      <c r="AM30">
        <f t="shared" si="2"/>
        <v>1554.92</v>
      </c>
      <c r="AN30" t="str">
        <f>REPLACE(Table_2__2[[#This Row],[Open]],6,1,"")</f>
        <v>1,55492</v>
      </c>
      <c r="AO30" s="44">
        <v>43556</v>
      </c>
      <c r="AP30" s="42" t="s">
        <v>668</v>
      </c>
      <c r="AQ30" s="42" t="s">
        <v>669</v>
      </c>
      <c r="AR30" s="42" t="s">
        <v>668</v>
      </c>
      <c r="AS30" s="42" t="s">
        <v>670</v>
      </c>
      <c r="AT30" s="42" t="s">
        <v>670</v>
      </c>
      <c r="AU30" s="42" t="s">
        <v>12</v>
      </c>
      <c r="AX30" s="42"/>
      <c r="AY30" s="42"/>
      <c r="AZ30" s="42"/>
      <c r="BA30" s="42"/>
      <c r="BB30" s="42"/>
      <c r="BC30" s="42"/>
      <c r="BD30" s="42"/>
      <c r="BE30" s="42"/>
      <c r="BF30" s="42"/>
    </row>
    <row r="31" spans="1:58" x14ac:dyDescent="0.3">
      <c r="G31" s="6" t="s">
        <v>73</v>
      </c>
      <c r="H31" s="1">
        <v>175552000</v>
      </c>
      <c r="I31" s="1">
        <v>169662000</v>
      </c>
      <c r="J31" s="1">
        <v>162696000</v>
      </c>
      <c r="K31" s="1">
        <v>139660000</v>
      </c>
      <c r="N31" s="48"/>
      <c r="Y31" s="1">
        <v>28</v>
      </c>
      <c r="Z31" s="42"/>
      <c r="AA31" s="44">
        <f>Table_2[[#This Row],[Date]]</f>
        <v>43557</v>
      </c>
      <c r="AB31" s="42">
        <f t="shared" si="0"/>
        <v>1561.31</v>
      </c>
      <c r="AC31" s="42">
        <f t="shared" si="1"/>
        <v>2868.24</v>
      </c>
      <c r="AD31" s="42" t="str">
        <f>REPLACE(Table_2[[#This Row],[Open]],6,1,"")</f>
        <v>2,86824</v>
      </c>
      <c r="AE31" s="44">
        <v>43557</v>
      </c>
      <c r="AF31" s="42" t="s">
        <v>429</v>
      </c>
      <c r="AG31" s="42" t="s">
        <v>243</v>
      </c>
      <c r="AH31" s="42" t="s">
        <v>342</v>
      </c>
      <c r="AI31" s="42" t="s">
        <v>153</v>
      </c>
      <c r="AJ31" s="42" t="s">
        <v>153</v>
      </c>
      <c r="AK31" s="42" t="s">
        <v>499</v>
      </c>
      <c r="AM31">
        <f t="shared" si="2"/>
        <v>1561.31</v>
      </c>
      <c r="AN31" t="str">
        <f>REPLACE(Table_2__2[[#This Row],[Open]],6,1,"")</f>
        <v>1,56131</v>
      </c>
      <c r="AO31" s="44">
        <v>43553</v>
      </c>
      <c r="AP31" s="42" t="s">
        <v>671</v>
      </c>
      <c r="AQ31" s="42" t="s">
        <v>672</v>
      </c>
      <c r="AR31" s="42" t="s">
        <v>673</v>
      </c>
      <c r="AS31" s="42" t="s">
        <v>674</v>
      </c>
      <c r="AT31" s="42" t="s">
        <v>674</v>
      </c>
      <c r="AU31" s="42" t="s">
        <v>12</v>
      </c>
      <c r="AX31" s="42"/>
      <c r="AY31" s="42"/>
      <c r="AZ31" s="42"/>
      <c r="BA31" s="42"/>
      <c r="BB31" s="42"/>
      <c r="BC31" s="42"/>
      <c r="BD31" s="42"/>
      <c r="BE31" s="42"/>
      <c r="BF31" s="42"/>
    </row>
    <row r="32" spans="1:58" x14ac:dyDescent="0.3">
      <c r="G32" s="6" t="s">
        <v>74</v>
      </c>
      <c r="H32" s="1">
        <v>286556000</v>
      </c>
      <c r="I32" s="1">
        <v>258848000</v>
      </c>
      <c r="J32" s="1">
        <v>250312000</v>
      </c>
      <c r="K32" s="1">
        <v>193468000</v>
      </c>
      <c r="N32" s="48"/>
      <c r="Y32" s="1">
        <v>29</v>
      </c>
      <c r="Z32" s="42"/>
      <c r="AA32" s="44">
        <f>Table_2[[#This Row],[Date]]</f>
        <v>43556</v>
      </c>
      <c r="AB32" s="42">
        <f t="shared" si="0"/>
        <v>1565.44</v>
      </c>
      <c r="AC32" s="42">
        <f t="shared" si="1"/>
        <v>2848.63</v>
      </c>
      <c r="AD32" s="42" t="str">
        <f>REPLACE(Table_2[[#This Row],[Open]],6,1,"")</f>
        <v>2,84863</v>
      </c>
      <c r="AE32" s="44">
        <v>43556</v>
      </c>
      <c r="AF32" s="42" t="s">
        <v>341</v>
      </c>
      <c r="AG32" s="42" t="s">
        <v>242</v>
      </c>
      <c r="AH32" s="42" t="s">
        <v>341</v>
      </c>
      <c r="AI32" s="42" t="s">
        <v>152</v>
      </c>
      <c r="AJ32" s="42" t="s">
        <v>152</v>
      </c>
      <c r="AK32" s="42" t="s">
        <v>500</v>
      </c>
      <c r="AM32">
        <f t="shared" si="2"/>
        <v>1565.44</v>
      </c>
      <c r="AN32" t="str">
        <f>REPLACE(Table_2__2[[#This Row],[Open]],6,1,"")</f>
        <v>1,56544</v>
      </c>
      <c r="AO32" s="44">
        <v>43552</v>
      </c>
      <c r="AP32" s="42" t="s">
        <v>675</v>
      </c>
      <c r="AQ32" s="42" t="s">
        <v>676</v>
      </c>
      <c r="AR32" s="42" t="s">
        <v>677</v>
      </c>
      <c r="AS32" s="42" t="s">
        <v>678</v>
      </c>
      <c r="AT32" s="42" t="s">
        <v>678</v>
      </c>
      <c r="AU32" s="42" t="s">
        <v>12</v>
      </c>
      <c r="AX32" s="42"/>
      <c r="AY32" s="42"/>
      <c r="AZ32" s="42"/>
      <c r="BA32" s="42"/>
      <c r="BB32" s="42"/>
      <c r="BC32" s="42"/>
      <c r="BD32" s="42"/>
      <c r="BE32" s="42"/>
      <c r="BF32" s="42"/>
    </row>
    <row r="33" spans="7:58" x14ac:dyDescent="0.3">
      <c r="G33" s="6" t="s">
        <v>75</v>
      </c>
      <c r="H33" s="1">
        <v>69420000</v>
      </c>
      <c r="I33" s="1">
        <v>58488000</v>
      </c>
      <c r="J33" s="1">
        <v>55745000</v>
      </c>
      <c r="K33" s="1">
        <v>59357000</v>
      </c>
      <c r="N33" s="48"/>
      <c r="Y33" s="1">
        <v>30</v>
      </c>
      <c r="Z33" s="42"/>
      <c r="AA33" s="44">
        <f>Table_2[[#This Row],[Date]]</f>
        <v>43553</v>
      </c>
      <c r="AB33" s="42">
        <f t="shared" si="0"/>
        <v>1575</v>
      </c>
      <c r="AC33" s="42">
        <f t="shared" si="1"/>
        <v>2828.27</v>
      </c>
      <c r="AD33" s="42" t="str">
        <f>REPLACE(Table_2[[#This Row],[Open]],6,1,"")</f>
        <v>2,82827</v>
      </c>
      <c r="AE33" s="44">
        <v>43553</v>
      </c>
      <c r="AF33" s="42" t="s">
        <v>425</v>
      </c>
      <c r="AG33" s="42" t="s">
        <v>237</v>
      </c>
      <c r="AH33" s="42" t="s">
        <v>338</v>
      </c>
      <c r="AI33" s="42" t="s">
        <v>150</v>
      </c>
      <c r="AJ33" s="42" t="s">
        <v>150</v>
      </c>
      <c r="AK33" s="42" t="s">
        <v>501</v>
      </c>
      <c r="AM33">
        <f t="shared" si="2"/>
        <v>1575</v>
      </c>
      <c r="AN33" t="str">
        <f>REPLACE(Table_2__2[[#This Row],[Open]],6,1,"")</f>
        <v>1,57500</v>
      </c>
      <c r="AO33" s="44">
        <v>43551</v>
      </c>
      <c r="AP33" s="42" t="s">
        <v>679</v>
      </c>
      <c r="AQ33" s="42" t="s">
        <v>680</v>
      </c>
      <c r="AR33" s="42" t="s">
        <v>681</v>
      </c>
      <c r="AS33" s="42" t="s">
        <v>682</v>
      </c>
      <c r="AT33" s="42" t="s">
        <v>682</v>
      </c>
      <c r="AU33" s="42" t="s">
        <v>12</v>
      </c>
      <c r="AX33" s="42"/>
      <c r="AY33" s="42"/>
      <c r="AZ33" s="42"/>
      <c r="BA33" s="42"/>
      <c r="BB33" s="42"/>
      <c r="BC33" s="42"/>
      <c r="BD33" s="42"/>
      <c r="BE33" s="42"/>
      <c r="BF33" s="42"/>
    </row>
    <row r="34" spans="7:58" x14ac:dyDescent="0.3">
      <c r="G34" s="6" t="s">
        <v>76</v>
      </c>
      <c r="H34" s="1">
        <v>184226000</v>
      </c>
      <c r="I34" s="1">
        <v>176130000</v>
      </c>
      <c r="J34" s="1">
        <v>162601000</v>
      </c>
      <c r="K34" s="1">
        <v>121471000</v>
      </c>
      <c r="N34" s="48"/>
      <c r="Y34" s="1">
        <v>31</v>
      </c>
      <c r="Z34" s="42"/>
      <c r="AA34" s="44">
        <f>Table_2[[#This Row],[Date]]</f>
        <v>43552</v>
      </c>
      <c r="AB34" s="42">
        <f t="shared" si="0"/>
        <v>1574.59</v>
      </c>
      <c r="AC34" s="42">
        <f t="shared" si="1"/>
        <v>2809.4</v>
      </c>
      <c r="AD34" s="42" t="str">
        <f>REPLACE(Table_2[[#This Row],[Open]],6,1,"")</f>
        <v>2,80940</v>
      </c>
      <c r="AE34" s="44">
        <v>43552</v>
      </c>
      <c r="AF34" s="42" t="s">
        <v>419</v>
      </c>
      <c r="AG34" s="42" t="s">
        <v>231</v>
      </c>
      <c r="AH34" s="42" t="s">
        <v>330</v>
      </c>
      <c r="AI34" s="42" t="s">
        <v>144</v>
      </c>
      <c r="AJ34" s="42" t="s">
        <v>144</v>
      </c>
      <c r="AK34" s="42" t="s">
        <v>502</v>
      </c>
      <c r="AM34">
        <f t="shared" si="2"/>
        <v>1574.59</v>
      </c>
      <c r="AN34" t="str">
        <f>REPLACE(Table_2__2[[#This Row],[Open]],6,1,"")</f>
        <v>1,57459</v>
      </c>
      <c r="AO34" s="44">
        <v>43550</v>
      </c>
      <c r="AP34" s="42" t="s">
        <v>683</v>
      </c>
      <c r="AQ34" s="42" t="s">
        <v>684</v>
      </c>
      <c r="AR34" s="42" t="s">
        <v>685</v>
      </c>
      <c r="AS34" s="42" t="s">
        <v>686</v>
      </c>
      <c r="AT34" s="42" t="s">
        <v>686</v>
      </c>
      <c r="AU34" s="42" t="s">
        <v>12</v>
      </c>
      <c r="AX34" s="42"/>
      <c r="AY34" s="42"/>
      <c r="AZ34" s="42"/>
      <c r="BA34" s="42"/>
      <c r="BB34" s="42"/>
      <c r="BC34" s="42"/>
      <c r="BD34" s="42"/>
      <c r="BE34" s="42"/>
      <c r="BF34" s="42"/>
    </row>
    <row r="35" spans="7:58" x14ac:dyDescent="0.3">
      <c r="G35" s="6" t="s">
        <v>77</v>
      </c>
      <c r="H35" s="1">
        <v>52554000</v>
      </c>
      <c r="I35" s="1">
        <v>38982000</v>
      </c>
      <c r="J35" s="1">
        <v>42483000</v>
      </c>
      <c r="K35" s="1">
        <v>50392000</v>
      </c>
      <c r="N35" s="48"/>
      <c r="Y35" s="1">
        <v>32</v>
      </c>
      <c r="Z35" s="42"/>
      <c r="AA35" s="44">
        <f>Table_2[[#This Row],[Date]]</f>
        <v>43551</v>
      </c>
      <c r="AB35" s="42">
        <f t="shared" si="0"/>
        <v>1576.82</v>
      </c>
      <c r="AC35" s="42">
        <f t="shared" si="1"/>
        <v>2819.72</v>
      </c>
      <c r="AD35" s="42" t="str">
        <f>REPLACE(Table_2[[#This Row],[Open]],6,1,"")</f>
        <v>2,81972</v>
      </c>
      <c r="AE35" s="44">
        <v>43551</v>
      </c>
      <c r="AF35" s="42" t="s">
        <v>423</v>
      </c>
      <c r="AG35" s="42" t="s">
        <v>233</v>
      </c>
      <c r="AH35" s="42" t="s">
        <v>329</v>
      </c>
      <c r="AI35" s="42" t="s">
        <v>141</v>
      </c>
      <c r="AJ35" s="42" t="s">
        <v>141</v>
      </c>
      <c r="AK35" s="42" t="s">
        <v>503</v>
      </c>
      <c r="AM35">
        <f t="shared" si="2"/>
        <v>1576.82</v>
      </c>
      <c r="AN35" t="str">
        <f>REPLACE(Table_2__2[[#This Row],[Open]],6,1,"")</f>
        <v>1,57682</v>
      </c>
      <c r="AO35" s="44">
        <v>43549</v>
      </c>
      <c r="AP35" s="42" t="s">
        <v>687</v>
      </c>
      <c r="AQ35" s="42" t="s">
        <v>688</v>
      </c>
      <c r="AR35" s="42" t="s">
        <v>689</v>
      </c>
      <c r="AS35" s="42" t="s">
        <v>690</v>
      </c>
      <c r="AT35" s="42" t="s">
        <v>690</v>
      </c>
      <c r="AU35" s="42" t="s">
        <v>12</v>
      </c>
      <c r="AX35" s="42"/>
      <c r="AY35" s="42"/>
      <c r="AZ35" s="42"/>
      <c r="BA35" s="42"/>
      <c r="BB35" s="42"/>
      <c r="BC35" s="42"/>
      <c r="BD35" s="42"/>
      <c r="BE35" s="42"/>
      <c r="BF35" s="42"/>
    </row>
    <row r="36" spans="7:58" x14ac:dyDescent="0.3">
      <c r="N36" s="48"/>
      <c r="Y36" s="1">
        <v>33</v>
      </c>
      <c r="Z36" s="42"/>
      <c r="AA36" s="44">
        <f>Table_2[[#This Row],[Date]]</f>
        <v>43550</v>
      </c>
      <c r="AB36" s="42">
        <f t="shared" si="0"/>
        <v>1606</v>
      </c>
      <c r="AC36" s="42">
        <f t="shared" si="1"/>
        <v>2812.66</v>
      </c>
      <c r="AD36" s="42" t="str">
        <f>REPLACE(Table_2[[#This Row],[Open]],6,1,"")</f>
        <v>2,81266</v>
      </c>
      <c r="AE36" s="44">
        <v>43550</v>
      </c>
      <c r="AF36" s="42" t="s">
        <v>421</v>
      </c>
      <c r="AG36" s="42" t="s">
        <v>234</v>
      </c>
      <c r="AH36" s="42" t="s">
        <v>334</v>
      </c>
      <c r="AI36" s="42" t="s">
        <v>145</v>
      </c>
      <c r="AJ36" s="42" t="s">
        <v>145</v>
      </c>
      <c r="AK36" s="42" t="s">
        <v>504</v>
      </c>
      <c r="AM36">
        <f t="shared" si="2"/>
        <v>1606</v>
      </c>
      <c r="AN36" t="str">
        <f>REPLACE(Table_2__2[[#This Row],[Open]],6,1,"")</f>
        <v>1,60600</v>
      </c>
      <c r="AO36" s="44">
        <v>43546</v>
      </c>
      <c r="AP36" s="42" t="s">
        <v>691</v>
      </c>
      <c r="AQ36" s="42" t="s">
        <v>692</v>
      </c>
      <c r="AR36" s="42" t="s">
        <v>693</v>
      </c>
      <c r="AS36" s="42" t="s">
        <v>693</v>
      </c>
      <c r="AT36" s="42" t="s">
        <v>693</v>
      </c>
      <c r="AU36" s="42" t="s">
        <v>12</v>
      </c>
      <c r="AX36" s="42"/>
      <c r="AY36" s="42"/>
      <c r="AZ36" s="42"/>
      <c r="BA36" s="42"/>
      <c r="BB36" s="42"/>
      <c r="BC36" s="42"/>
      <c r="BD36" s="42"/>
      <c r="BE36" s="42"/>
      <c r="BF36" s="42"/>
    </row>
    <row r="37" spans="7:58" x14ac:dyDescent="0.3">
      <c r="N37" s="48"/>
      <c r="Y37" s="1">
        <v>34</v>
      </c>
      <c r="Z37" s="42"/>
      <c r="AA37" s="44">
        <f>Table_2[[#This Row],[Date]]</f>
        <v>43549</v>
      </c>
      <c r="AB37" s="42">
        <f t="shared" si="0"/>
        <v>1605.31</v>
      </c>
      <c r="AC37" s="42">
        <f t="shared" si="1"/>
        <v>2796.01</v>
      </c>
      <c r="AD37" s="42" t="str">
        <f>REPLACE(Table_2[[#This Row],[Open]],6,1,"")</f>
        <v>2,79601</v>
      </c>
      <c r="AE37" s="44">
        <v>43549</v>
      </c>
      <c r="AF37" s="42" t="s">
        <v>417</v>
      </c>
      <c r="AG37" s="42" t="s">
        <v>228</v>
      </c>
      <c r="AH37" s="42" t="s">
        <v>326</v>
      </c>
      <c r="AI37" s="42" t="s">
        <v>138</v>
      </c>
      <c r="AJ37" s="42" t="s">
        <v>138</v>
      </c>
      <c r="AK37" s="42" t="s">
        <v>505</v>
      </c>
      <c r="AM37">
        <f t="shared" si="2"/>
        <v>1605.31</v>
      </c>
      <c r="AN37" t="str">
        <f>REPLACE(Table_2__2[[#This Row],[Open]],6,1,"")</f>
        <v>1,60531</v>
      </c>
      <c r="AO37" s="44">
        <v>43545</v>
      </c>
      <c r="AP37" s="42" t="s">
        <v>694</v>
      </c>
      <c r="AQ37" s="42" t="s">
        <v>695</v>
      </c>
      <c r="AR37" s="42" t="s">
        <v>696</v>
      </c>
      <c r="AS37" s="42" t="s">
        <v>697</v>
      </c>
      <c r="AT37" s="42" t="s">
        <v>697</v>
      </c>
      <c r="AU37" s="42" t="s">
        <v>12</v>
      </c>
      <c r="AX37" s="42"/>
      <c r="AY37" s="42"/>
      <c r="AZ37" s="42"/>
      <c r="BA37" s="42"/>
      <c r="BB37" s="42"/>
      <c r="BC37" s="42"/>
      <c r="BD37" s="42"/>
      <c r="BE37" s="42"/>
      <c r="BF37" s="42"/>
    </row>
    <row r="38" spans="7:58" x14ac:dyDescent="0.3">
      <c r="N38" s="48"/>
      <c r="Y38" s="1">
        <v>35</v>
      </c>
      <c r="Z38" s="42"/>
      <c r="AA38" s="44">
        <f>Table_2[[#This Row],[Date]]</f>
        <v>43546</v>
      </c>
      <c r="AB38" s="42">
        <f t="shared" si="0"/>
        <v>1614.58</v>
      </c>
      <c r="AC38" s="42">
        <f t="shared" si="1"/>
        <v>2844.52</v>
      </c>
      <c r="AD38" s="42" t="str">
        <f>REPLACE(Table_2[[#This Row],[Open]],6,1,"")</f>
        <v>2,84452</v>
      </c>
      <c r="AE38" s="44">
        <v>43546</v>
      </c>
      <c r="AF38" s="42" t="s">
        <v>428</v>
      </c>
      <c r="AG38" s="42" t="s">
        <v>239</v>
      </c>
      <c r="AH38" s="42" t="s">
        <v>332</v>
      </c>
      <c r="AI38" s="42" t="s">
        <v>139</v>
      </c>
      <c r="AJ38" s="42" t="s">
        <v>139</v>
      </c>
      <c r="AK38" s="42" t="s">
        <v>506</v>
      </c>
      <c r="AM38">
        <f t="shared" si="2"/>
        <v>1614.58</v>
      </c>
      <c r="AN38" t="str">
        <f>REPLACE(Table_2__2[[#This Row],[Open]],6,1,"")</f>
        <v>1,61458</v>
      </c>
      <c r="AO38" s="44">
        <v>43544</v>
      </c>
      <c r="AP38" s="42" t="s">
        <v>698</v>
      </c>
      <c r="AQ38" s="42" t="s">
        <v>699</v>
      </c>
      <c r="AR38" s="42" t="s">
        <v>700</v>
      </c>
      <c r="AS38" s="42" t="s">
        <v>700</v>
      </c>
      <c r="AT38" s="42" t="s">
        <v>700</v>
      </c>
      <c r="AU38" s="42" t="s">
        <v>12</v>
      </c>
      <c r="AX38" s="42"/>
      <c r="AY38" s="42"/>
      <c r="AZ38" s="42"/>
      <c r="BA38" s="42"/>
      <c r="BB38" s="42"/>
      <c r="BC38" s="42"/>
      <c r="BD38" s="42"/>
      <c r="BE38" s="42"/>
      <c r="BF38" s="42"/>
    </row>
    <row r="39" spans="7:58" x14ac:dyDescent="0.3">
      <c r="N39" s="48"/>
      <c r="Y39" s="1">
        <v>36</v>
      </c>
      <c r="Z39" s="42"/>
      <c r="AA39" s="44">
        <f>Table_2[[#This Row],[Date]]</f>
        <v>43545</v>
      </c>
      <c r="AB39" s="42">
        <f t="shared" si="0"/>
        <v>1605.8</v>
      </c>
      <c r="AC39" s="42">
        <f t="shared" si="1"/>
        <v>2819.72</v>
      </c>
      <c r="AD39" s="42" t="str">
        <f>REPLACE(Table_2[[#This Row],[Open]],6,1,"")</f>
        <v>2,81972</v>
      </c>
      <c r="AE39" s="44">
        <v>43545</v>
      </c>
      <c r="AF39" s="42" t="s">
        <v>423</v>
      </c>
      <c r="AG39" s="42" t="s">
        <v>241</v>
      </c>
      <c r="AH39" s="42" t="s">
        <v>337</v>
      </c>
      <c r="AI39" s="42" t="s">
        <v>151</v>
      </c>
      <c r="AJ39" s="42" t="s">
        <v>151</v>
      </c>
      <c r="AK39" s="42" t="s">
        <v>507</v>
      </c>
      <c r="AM39">
        <f t="shared" si="2"/>
        <v>1605.8</v>
      </c>
      <c r="AN39" t="str">
        <f>REPLACE(Table_2__2[[#This Row],[Open]],6,1,"")</f>
        <v>1,60580</v>
      </c>
      <c r="AO39" s="44">
        <v>43543</v>
      </c>
      <c r="AP39" s="42" t="s">
        <v>701</v>
      </c>
      <c r="AQ39" s="42" t="s">
        <v>702</v>
      </c>
      <c r="AR39" s="42" t="s">
        <v>703</v>
      </c>
      <c r="AS39" s="42" t="s">
        <v>704</v>
      </c>
      <c r="AT39" s="42" t="s">
        <v>704</v>
      </c>
      <c r="AU39" s="42" t="s">
        <v>12</v>
      </c>
      <c r="AX39" s="42"/>
      <c r="AY39" s="42"/>
      <c r="AZ39" s="42"/>
      <c r="BA39" s="42"/>
      <c r="BB39" s="42"/>
      <c r="BC39" s="42"/>
      <c r="BD39" s="42"/>
      <c r="BE39" s="42"/>
      <c r="BF39" s="42"/>
    </row>
    <row r="40" spans="7:58" x14ac:dyDescent="0.3">
      <c r="N40" s="48"/>
      <c r="Y40" s="1">
        <v>37</v>
      </c>
      <c r="Z40" s="42"/>
      <c r="AA40" s="44">
        <f>Table_2[[#This Row],[Date]]</f>
        <v>43544</v>
      </c>
      <c r="AB40" s="42">
        <f t="shared" si="0"/>
        <v>1595.92</v>
      </c>
      <c r="AC40" s="42">
        <f t="shared" si="1"/>
        <v>2831.34</v>
      </c>
      <c r="AD40" s="42" t="str">
        <f>REPLACE(Table_2[[#This Row],[Open]],6,1,"")</f>
        <v>2,83134</v>
      </c>
      <c r="AE40" s="44">
        <v>43544</v>
      </c>
      <c r="AF40" s="42" t="s">
        <v>426</v>
      </c>
      <c r="AG40" s="42" t="s">
        <v>238</v>
      </c>
      <c r="AH40" s="42" t="s">
        <v>336</v>
      </c>
      <c r="AI40" s="42" t="s">
        <v>147</v>
      </c>
      <c r="AJ40" s="42" t="s">
        <v>147</v>
      </c>
      <c r="AK40" s="42" t="s">
        <v>508</v>
      </c>
      <c r="AM40">
        <f t="shared" si="2"/>
        <v>1595.92</v>
      </c>
      <c r="AN40" t="str">
        <f>REPLACE(Table_2__2[[#This Row],[Open]],6,1,"")</f>
        <v>1,59592</v>
      </c>
      <c r="AO40" s="44">
        <v>43542</v>
      </c>
      <c r="AP40" s="42" t="s">
        <v>705</v>
      </c>
      <c r="AQ40" s="42" t="s">
        <v>706</v>
      </c>
      <c r="AR40" s="42" t="s">
        <v>705</v>
      </c>
      <c r="AS40" s="42" t="s">
        <v>707</v>
      </c>
      <c r="AT40" s="42" t="s">
        <v>707</v>
      </c>
      <c r="AU40" s="42" t="s">
        <v>12</v>
      </c>
    </row>
    <row r="41" spans="7:58" x14ac:dyDescent="0.3">
      <c r="N41" s="48"/>
      <c r="Y41" s="1">
        <v>38</v>
      </c>
      <c r="Z41" s="42"/>
      <c r="AA41" s="44">
        <f>Table_2[[#This Row],[Date]]</f>
        <v>43543</v>
      </c>
      <c r="AB41" s="42">
        <f t="shared" si="0"/>
        <v>1590.76</v>
      </c>
      <c r="AC41" s="42">
        <f t="shared" si="1"/>
        <v>2840.76</v>
      </c>
      <c r="AD41" s="42" t="str">
        <f>REPLACE(Table_2[[#This Row],[Open]],6,1,"")</f>
        <v>2,84076</v>
      </c>
      <c r="AE41" s="44">
        <v>43543</v>
      </c>
      <c r="AF41" s="42" t="s">
        <v>427</v>
      </c>
      <c r="AG41" s="42" t="s">
        <v>240</v>
      </c>
      <c r="AH41" s="42" t="s">
        <v>340</v>
      </c>
      <c r="AI41" s="42" t="s">
        <v>148</v>
      </c>
      <c r="AJ41" s="42" t="s">
        <v>148</v>
      </c>
      <c r="AK41" s="42" t="s">
        <v>509</v>
      </c>
      <c r="AM41">
        <f t="shared" si="2"/>
        <v>1590.76</v>
      </c>
      <c r="AN41" t="str">
        <f>REPLACE(Table_2__2[[#This Row],[Open]],6,1,"")</f>
        <v>1,59076</v>
      </c>
      <c r="AO41" s="44">
        <v>43539</v>
      </c>
      <c r="AP41" s="42" t="s">
        <v>708</v>
      </c>
      <c r="AQ41" s="42" t="s">
        <v>709</v>
      </c>
      <c r="AR41" s="42" t="s">
        <v>710</v>
      </c>
      <c r="AS41" s="42" t="s">
        <v>711</v>
      </c>
      <c r="AT41" s="42" t="s">
        <v>711</v>
      </c>
      <c r="AU41" s="42" t="s">
        <v>12</v>
      </c>
    </row>
    <row r="42" spans="7:58" x14ac:dyDescent="0.3">
      <c r="N42" s="48"/>
      <c r="Y42" s="1">
        <v>39</v>
      </c>
      <c r="Z42" s="42"/>
      <c r="AA42" s="44">
        <f>Table_2[[#This Row],[Date]]</f>
        <v>43542</v>
      </c>
      <c r="AB42" s="42">
        <f t="shared" si="0"/>
        <v>1572.86</v>
      </c>
      <c r="AC42" s="42">
        <f t="shared" si="1"/>
        <v>2822.61</v>
      </c>
      <c r="AD42" s="42" t="str">
        <f>REPLACE(Table_2[[#This Row],[Open]],6,1,"")</f>
        <v>2,82261</v>
      </c>
      <c r="AE42" s="44">
        <v>43542</v>
      </c>
      <c r="AF42" s="42" t="s">
        <v>424</v>
      </c>
      <c r="AG42" s="42" t="s">
        <v>236</v>
      </c>
      <c r="AH42" s="42" t="s">
        <v>339</v>
      </c>
      <c r="AI42" s="42" t="s">
        <v>149</v>
      </c>
      <c r="AJ42" s="42" t="s">
        <v>149</v>
      </c>
      <c r="AK42" s="42" t="s">
        <v>510</v>
      </c>
      <c r="AM42">
        <f t="shared" si="2"/>
        <v>1572.86</v>
      </c>
      <c r="AN42" t="str">
        <f>REPLACE(Table_2__2[[#This Row],[Open]],6,1,"")</f>
        <v>1,57286</v>
      </c>
      <c r="AO42" s="44">
        <v>43538</v>
      </c>
      <c r="AP42" s="42" t="s">
        <v>712</v>
      </c>
      <c r="AQ42" s="42" t="s">
        <v>708</v>
      </c>
      <c r="AR42" s="42" t="s">
        <v>713</v>
      </c>
      <c r="AS42" s="42" t="s">
        <v>708</v>
      </c>
      <c r="AT42" s="42" t="s">
        <v>708</v>
      </c>
      <c r="AU42" s="42" t="s">
        <v>12</v>
      </c>
    </row>
    <row r="43" spans="7:58" x14ac:dyDescent="0.3">
      <c r="N43" s="48"/>
      <c r="Y43" s="1">
        <v>40</v>
      </c>
      <c r="Z43" s="42"/>
      <c r="AA43" s="44">
        <f>Table_2[[#This Row],[Date]]</f>
        <v>43539</v>
      </c>
      <c r="AB43" s="42">
        <f t="shared" si="0"/>
        <v>1565.33</v>
      </c>
      <c r="AC43" s="42">
        <f t="shared" si="1"/>
        <v>2810.79</v>
      </c>
      <c r="AD43" s="42" t="str">
        <f>REPLACE(Table_2[[#This Row],[Open]],6,1,"")</f>
        <v>2,81079</v>
      </c>
      <c r="AE43" s="44">
        <v>43539</v>
      </c>
      <c r="AF43" s="42" t="s">
        <v>335</v>
      </c>
      <c r="AG43" s="42" t="s">
        <v>235</v>
      </c>
      <c r="AH43" s="42" t="s">
        <v>335</v>
      </c>
      <c r="AI43" s="42" t="s">
        <v>146</v>
      </c>
      <c r="AJ43" s="42" t="s">
        <v>146</v>
      </c>
      <c r="AK43" s="42" t="s">
        <v>511</v>
      </c>
      <c r="AM43">
        <f t="shared" si="2"/>
        <v>1565.33</v>
      </c>
      <c r="AN43" t="str">
        <f>REPLACE(Table_2__2[[#This Row],[Open]],6,1,"")</f>
        <v>1,56533</v>
      </c>
      <c r="AO43" s="44">
        <v>43537</v>
      </c>
      <c r="AP43" s="42" t="s">
        <v>714</v>
      </c>
      <c r="AQ43" s="42" t="s">
        <v>715</v>
      </c>
      <c r="AR43" s="42" t="s">
        <v>716</v>
      </c>
      <c r="AS43" s="42" t="s">
        <v>717</v>
      </c>
      <c r="AT43" s="42" t="s">
        <v>717</v>
      </c>
      <c r="AU43" s="42" t="s">
        <v>12</v>
      </c>
    </row>
    <row r="44" spans="7:58" x14ac:dyDescent="0.3">
      <c r="N44" s="48"/>
      <c r="Y44" s="1">
        <v>41</v>
      </c>
      <c r="Z44" s="42"/>
      <c r="AA44" s="44">
        <f>Table_2[[#This Row],[Date]]</f>
        <v>43538</v>
      </c>
      <c r="AB44" s="42">
        <f t="shared" si="0"/>
        <v>1572.27</v>
      </c>
      <c r="AC44" s="42">
        <f t="shared" si="1"/>
        <v>2810.38</v>
      </c>
      <c r="AD44" s="42" t="str">
        <f>REPLACE(Table_2[[#This Row],[Open]],6,1,"")</f>
        <v>2,81038</v>
      </c>
      <c r="AE44" s="44">
        <v>43538</v>
      </c>
      <c r="AF44" s="42" t="s">
        <v>420</v>
      </c>
      <c r="AG44" s="42" t="s">
        <v>229</v>
      </c>
      <c r="AH44" s="42" t="s">
        <v>333</v>
      </c>
      <c r="AI44" s="42" t="s">
        <v>142</v>
      </c>
      <c r="AJ44" s="42" t="s">
        <v>142</v>
      </c>
      <c r="AK44" s="42" t="s">
        <v>512</v>
      </c>
      <c r="AM44">
        <f t="shared" si="2"/>
        <v>1572.27</v>
      </c>
      <c r="AN44" t="str">
        <f>REPLACE(Table_2__2[[#This Row],[Open]],6,1,"")</f>
        <v>1,57227</v>
      </c>
      <c r="AO44" s="44">
        <v>43536</v>
      </c>
      <c r="AP44" s="42" t="s">
        <v>718</v>
      </c>
      <c r="AQ44" s="42" t="s">
        <v>719</v>
      </c>
      <c r="AR44" s="42" t="s">
        <v>720</v>
      </c>
      <c r="AS44" s="42" t="s">
        <v>721</v>
      </c>
      <c r="AT44" s="42" t="s">
        <v>721</v>
      </c>
      <c r="AU44" s="42" t="s">
        <v>12</v>
      </c>
    </row>
    <row r="45" spans="7:58" x14ac:dyDescent="0.3">
      <c r="N45" s="48"/>
      <c r="Y45" s="1">
        <v>42</v>
      </c>
      <c r="Z45" s="42"/>
      <c r="AA45" s="44">
        <f>Table_2[[#This Row],[Date]]</f>
        <v>43537</v>
      </c>
      <c r="AB45" s="42">
        <f t="shared" si="0"/>
        <v>1559.22</v>
      </c>
      <c r="AC45" s="42">
        <f t="shared" si="1"/>
        <v>2799.78</v>
      </c>
      <c r="AD45" s="42" t="str">
        <f>REPLACE(Table_2[[#This Row],[Open]],6,1,"")</f>
        <v>2,79978</v>
      </c>
      <c r="AE45" s="44">
        <v>43537</v>
      </c>
      <c r="AF45" s="42" t="s">
        <v>331</v>
      </c>
      <c r="AG45" s="42" t="s">
        <v>232</v>
      </c>
      <c r="AH45" s="42" t="s">
        <v>331</v>
      </c>
      <c r="AI45" s="42" t="s">
        <v>143</v>
      </c>
      <c r="AJ45" s="42" t="s">
        <v>143</v>
      </c>
      <c r="AK45" s="42" t="s">
        <v>513</v>
      </c>
      <c r="AM45">
        <f t="shared" si="2"/>
        <v>1559.22</v>
      </c>
      <c r="AN45" t="str">
        <f>REPLACE(Table_2__2[[#This Row],[Open]],6,1,"")</f>
        <v>1,55922</v>
      </c>
      <c r="AO45" s="44">
        <v>43535</v>
      </c>
      <c r="AP45" s="42" t="s">
        <v>722</v>
      </c>
      <c r="AQ45" s="42" t="s">
        <v>723</v>
      </c>
      <c r="AR45" s="42" t="s">
        <v>724</v>
      </c>
      <c r="AS45" s="42" t="s">
        <v>725</v>
      </c>
      <c r="AT45" s="42" t="s">
        <v>725</v>
      </c>
      <c r="AU45" s="42" t="s">
        <v>12</v>
      </c>
    </row>
    <row r="46" spans="7:58" x14ac:dyDescent="0.3">
      <c r="N46" s="48"/>
      <c r="Y46" s="1">
        <v>43</v>
      </c>
      <c r="Z46" s="42"/>
      <c r="AA46" s="44">
        <f>Table_2[[#This Row],[Date]]</f>
        <v>43536</v>
      </c>
      <c r="AB46" s="42">
        <f t="shared" si="0"/>
        <v>1558.33</v>
      </c>
      <c r="AC46" s="42">
        <f t="shared" si="1"/>
        <v>2787.34</v>
      </c>
      <c r="AD46" s="42" t="str">
        <f>REPLACE(Table_2[[#This Row],[Open]],6,1,"")</f>
        <v>2,78734</v>
      </c>
      <c r="AE46" s="44">
        <v>43536</v>
      </c>
      <c r="AF46" s="42" t="s">
        <v>415</v>
      </c>
      <c r="AG46" s="42" t="s">
        <v>226</v>
      </c>
      <c r="AH46" s="42" t="s">
        <v>327</v>
      </c>
      <c r="AI46" s="42" t="s">
        <v>132</v>
      </c>
      <c r="AJ46" s="42" t="s">
        <v>132</v>
      </c>
      <c r="AK46" s="42" t="s">
        <v>514</v>
      </c>
      <c r="AM46">
        <f t="shared" si="2"/>
        <v>1558.33</v>
      </c>
      <c r="AN46" t="str">
        <f>REPLACE(Table_2__2[[#This Row],[Open]],6,1,"")</f>
        <v>1,55833</v>
      </c>
      <c r="AO46" s="44">
        <v>43532</v>
      </c>
      <c r="AP46" s="42" t="s">
        <v>726</v>
      </c>
      <c r="AQ46" s="42" t="s">
        <v>727</v>
      </c>
      <c r="AR46" s="42" t="s">
        <v>728</v>
      </c>
      <c r="AS46" s="42" t="s">
        <v>729</v>
      </c>
      <c r="AT46" s="42" t="s">
        <v>729</v>
      </c>
      <c r="AU46" s="42" t="s">
        <v>12</v>
      </c>
    </row>
    <row r="47" spans="7:58" x14ac:dyDescent="0.3">
      <c r="N47" s="48"/>
      <c r="Y47" s="1">
        <v>44</v>
      </c>
      <c r="Z47" s="42"/>
      <c r="AA47" s="44">
        <f>Table_2[[#This Row],[Date]]</f>
        <v>43535</v>
      </c>
      <c r="AB47" s="42">
        <f t="shared" si="0"/>
        <v>1572.48</v>
      </c>
      <c r="AC47" s="42">
        <f t="shared" si="1"/>
        <v>2747.61</v>
      </c>
      <c r="AD47" s="42" t="str">
        <f>REPLACE(Table_2[[#This Row],[Open]],6,1,"")</f>
        <v>2,74761</v>
      </c>
      <c r="AE47" s="44">
        <v>43535</v>
      </c>
      <c r="AF47" s="42" t="s">
        <v>322</v>
      </c>
      <c r="AG47" s="42" t="s">
        <v>223</v>
      </c>
      <c r="AH47" s="42" t="s">
        <v>322</v>
      </c>
      <c r="AI47" s="42" t="s">
        <v>128</v>
      </c>
      <c r="AJ47" s="42" t="s">
        <v>128</v>
      </c>
      <c r="AK47" s="42" t="s">
        <v>515</v>
      </c>
      <c r="AM47">
        <f t="shared" si="2"/>
        <v>1572.48</v>
      </c>
      <c r="AN47" t="str">
        <f>REPLACE(Table_2__2[[#This Row],[Open]],6,1,"")</f>
        <v>1,57248</v>
      </c>
      <c r="AO47" s="44">
        <v>43531</v>
      </c>
      <c r="AP47" s="42" t="s">
        <v>730</v>
      </c>
      <c r="AQ47" s="42" t="s">
        <v>731</v>
      </c>
      <c r="AR47" s="42" t="s">
        <v>732</v>
      </c>
      <c r="AS47" s="42" t="s">
        <v>733</v>
      </c>
      <c r="AT47" s="42" t="s">
        <v>733</v>
      </c>
      <c r="AU47" s="42" t="s">
        <v>12</v>
      </c>
    </row>
    <row r="48" spans="7:58" x14ac:dyDescent="0.3">
      <c r="N48" s="48"/>
      <c r="Y48" s="1">
        <v>45</v>
      </c>
      <c r="Z48" s="42"/>
      <c r="AA48" s="44">
        <f>Table_2[[#This Row],[Date]]</f>
        <v>43532</v>
      </c>
      <c r="AB48" s="42">
        <f t="shared" si="0"/>
        <v>1588.06</v>
      </c>
      <c r="AC48" s="42">
        <f t="shared" si="1"/>
        <v>2730.79</v>
      </c>
      <c r="AD48" s="42" t="str">
        <f>REPLACE(Table_2[[#This Row],[Open]],6,1,"")</f>
        <v>2,73079</v>
      </c>
      <c r="AE48" s="44">
        <v>43532</v>
      </c>
      <c r="AF48" s="42" t="s">
        <v>413</v>
      </c>
      <c r="AG48" s="42" t="s">
        <v>221</v>
      </c>
      <c r="AH48" s="42" t="s">
        <v>320</v>
      </c>
      <c r="AI48" s="42" t="s">
        <v>119</v>
      </c>
      <c r="AJ48" s="42" t="s">
        <v>119</v>
      </c>
      <c r="AK48" s="42" t="s">
        <v>516</v>
      </c>
      <c r="AM48">
        <f t="shared" si="2"/>
        <v>1588.06</v>
      </c>
      <c r="AN48" t="str">
        <f>REPLACE(Table_2__2[[#This Row],[Open]],6,1,"")</f>
        <v>1,58806</v>
      </c>
      <c r="AO48" s="44">
        <v>43530</v>
      </c>
      <c r="AP48" s="42" t="s">
        <v>734</v>
      </c>
      <c r="AQ48" s="42" t="s">
        <v>734</v>
      </c>
      <c r="AR48" s="42" t="s">
        <v>735</v>
      </c>
      <c r="AS48" s="42" t="s">
        <v>736</v>
      </c>
      <c r="AT48" s="42" t="s">
        <v>736</v>
      </c>
      <c r="AU48" s="42" t="s">
        <v>12</v>
      </c>
    </row>
    <row r="49" spans="14:47" x14ac:dyDescent="0.3">
      <c r="N49" s="48"/>
      <c r="Y49" s="1">
        <v>46</v>
      </c>
      <c r="Z49" s="42"/>
      <c r="AA49" s="44">
        <f>Table_2[[#This Row],[Date]]</f>
        <v>43531</v>
      </c>
      <c r="AB49" s="42">
        <f t="shared" si="0"/>
        <v>1587.95</v>
      </c>
      <c r="AC49" s="42">
        <f t="shared" si="1"/>
        <v>2766.53</v>
      </c>
      <c r="AD49" s="42" t="str">
        <f>REPLACE(Table_2[[#This Row],[Open]],6,1,"")</f>
        <v>2,76653</v>
      </c>
      <c r="AE49" s="44">
        <v>43531</v>
      </c>
      <c r="AF49" s="42" t="s">
        <v>414</v>
      </c>
      <c r="AG49" s="42" t="s">
        <v>222</v>
      </c>
      <c r="AH49" s="42" t="s">
        <v>321</v>
      </c>
      <c r="AI49" s="42" t="s">
        <v>122</v>
      </c>
      <c r="AJ49" s="42" t="s">
        <v>122</v>
      </c>
      <c r="AK49" s="42" t="s">
        <v>517</v>
      </c>
      <c r="AM49">
        <f t="shared" si="2"/>
        <v>1587.95</v>
      </c>
      <c r="AN49" t="str">
        <f>REPLACE(Table_2__2[[#This Row],[Open]],6,1,"")</f>
        <v>1,58795</v>
      </c>
      <c r="AO49" s="44">
        <v>43529</v>
      </c>
      <c r="AP49" s="42" t="s">
        <v>737</v>
      </c>
      <c r="AQ49" s="42" t="s">
        <v>738</v>
      </c>
      <c r="AR49" s="42" t="s">
        <v>739</v>
      </c>
      <c r="AS49" s="42" t="s">
        <v>740</v>
      </c>
      <c r="AT49" s="42" t="s">
        <v>740</v>
      </c>
      <c r="AU49" s="42" t="s">
        <v>12</v>
      </c>
    </row>
    <row r="50" spans="14:47" x14ac:dyDescent="0.3">
      <c r="N50" s="48"/>
      <c r="Y50" s="1">
        <v>47</v>
      </c>
      <c r="Z50" s="42"/>
      <c r="AA50" s="44">
        <f>Table_2[[#This Row],[Date]]</f>
        <v>43530</v>
      </c>
      <c r="AB50" s="42">
        <f t="shared" si="0"/>
        <v>1580.7</v>
      </c>
      <c r="AC50" s="42">
        <f t="shared" si="1"/>
        <v>2790.27</v>
      </c>
      <c r="AD50" s="42" t="str">
        <f>REPLACE(Table_2[[#This Row],[Open]],6,1,"")</f>
        <v>2,79027</v>
      </c>
      <c r="AE50" s="44">
        <v>43530</v>
      </c>
      <c r="AF50" s="42" t="s">
        <v>224</v>
      </c>
      <c r="AG50" s="42" t="s">
        <v>224</v>
      </c>
      <c r="AH50" s="42" t="s">
        <v>324</v>
      </c>
      <c r="AI50" s="42" t="s">
        <v>124</v>
      </c>
      <c r="AJ50" s="42" t="s">
        <v>124</v>
      </c>
      <c r="AK50" s="42" t="s">
        <v>518</v>
      </c>
      <c r="AM50">
        <f t="shared" si="2"/>
        <v>1580.7</v>
      </c>
      <c r="AN50" t="str">
        <f>REPLACE(Table_2__2[[#This Row],[Open]],6,1,"")</f>
        <v>1,58070</v>
      </c>
      <c r="AO50" s="44">
        <v>43528</v>
      </c>
      <c r="AP50" s="42" t="s">
        <v>741</v>
      </c>
      <c r="AQ50" s="42" t="s">
        <v>742</v>
      </c>
      <c r="AR50" s="42" t="s">
        <v>743</v>
      </c>
      <c r="AS50" s="42" t="s">
        <v>744</v>
      </c>
      <c r="AT50" s="42" t="s">
        <v>744</v>
      </c>
      <c r="AU50" s="42" t="s">
        <v>12</v>
      </c>
    </row>
    <row r="51" spans="14:47" x14ac:dyDescent="0.3">
      <c r="N51" s="48"/>
      <c r="Y51" s="1">
        <v>48</v>
      </c>
      <c r="Z51" s="42"/>
      <c r="AA51" s="44">
        <f>Table_2[[#This Row],[Date]]</f>
        <v>43529</v>
      </c>
      <c r="AB51" s="42">
        <f t="shared" si="0"/>
        <v>1574.3</v>
      </c>
      <c r="AC51" s="42">
        <f t="shared" si="1"/>
        <v>2794.41</v>
      </c>
      <c r="AD51" s="42" t="str">
        <f>REPLACE(Table_2[[#This Row],[Open]],6,1,"")</f>
        <v>2,79441</v>
      </c>
      <c r="AE51" s="44">
        <v>43529</v>
      </c>
      <c r="AF51" s="42" t="s">
        <v>416</v>
      </c>
      <c r="AG51" s="42" t="s">
        <v>225</v>
      </c>
      <c r="AH51" s="42" t="s">
        <v>325</v>
      </c>
      <c r="AI51" s="42" t="s">
        <v>131</v>
      </c>
      <c r="AJ51" s="42" t="s">
        <v>131</v>
      </c>
      <c r="AK51" s="42" t="s">
        <v>519</v>
      </c>
      <c r="AM51">
        <f t="shared" si="2"/>
        <v>1574.3</v>
      </c>
      <c r="AN51" t="str">
        <f>REPLACE(Table_2__2[[#This Row],[Open]],6,1,"")</f>
        <v>1,57430</v>
      </c>
      <c r="AO51" s="44">
        <v>43525</v>
      </c>
      <c r="AP51" s="42" t="s">
        <v>745</v>
      </c>
      <c r="AQ51" s="42" t="s">
        <v>746</v>
      </c>
      <c r="AR51" s="42" t="s">
        <v>747</v>
      </c>
      <c r="AS51" s="42" t="s">
        <v>748</v>
      </c>
      <c r="AT51" s="42" t="s">
        <v>748</v>
      </c>
      <c r="AU51" s="42" t="s">
        <v>12</v>
      </c>
    </row>
    <row r="52" spans="14:47" x14ac:dyDescent="0.3">
      <c r="N52" s="48"/>
      <c r="Y52" s="1">
        <v>49</v>
      </c>
      <c r="Z52" s="42"/>
      <c r="AA52" s="44">
        <f>Table_2[[#This Row],[Date]]</f>
        <v>43528</v>
      </c>
      <c r="AB52" s="42">
        <f t="shared" si="0"/>
        <v>1576.98</v>
      </c>
      <c r="AC52" s="42">
        <f t="shared" si="1"/>
        <v>2814.37</v>
      </c>
      <c r="AD52" s="42" t="str">
        <f>REPLACE(Table_2[[#This Row],[Open]],6,1,"")</f>
        <v>2,81437</v>
      </c>
      <c r="AE52" s="44">
        <v>43528</v>
      </c>
      <c r="AF52" s="42" t="s">
        <v>422</v>
      </c>
      <c r="AG52" s="42" t="s">
        <v>230</v>
      </c>
      <c r="AH52" s="42" t="s">
        <v>323</v>
      </c>
      <c r="AI52" s="42" t="s">
        <v>135</v>
      </c>
      <c r="AJ52" s="42" t="s">
        <v>135</v>
      </c>
      <c r="AK52" s="42" t="s">
        <v>520</v>
      </c>
      <c r="AM52">
        <f t="shared" si="2"/>
        <v>1576.98</v>
      </c>
      <c r="AN52" t="str">
        <f>REPLACE(Table_2__2[[#This Row],[Open]],6,1,"")</f>
        <v>1,57698</v>
      </c>
      <c r="AO52" s="44">
        <v>43524</v>
      </c>
      <c r="AP52" s="42" t="s">
        <v>749</v>
      </c>
      <c r="AQ52" s="42" t="s">
        <v>750</v>
      </c>
      <c r="AR52" s="42" t="s">
        <v>751</v>
      </c>
      <c r="AS52" s="42" t="s">
        <v>752</v>
      </c>
      <c r="AT52" s="42" t="s">
        <v>752</v>
      </c>
      <c r="AU52" s="42" t="s">
        <v>12</v>
      </c>
    </row>
    <row r="53" spans="14:47" x14ac:dyDescent="0.3">
      <c r="N53" s="48"/>
      <c r="Y53" s="1">
        <v>50</v>
      </c>
      <c r="Z53" s="42"/>
      <c r="AA53" s="44">
        <f>Table_2[[#This Row],[Date]]</f>
        <v>43525</v>
      </c>
      <c r="AB53" s="42">
        <f t="shared" si="0"/>
        <v>1583.17</v>
      </c>
      <c r="AC53" s="42">
        <f t="shared" si="1"/>
        <v>2798.22</v>
      </c>
      <c r="AD53" s="42" t="str">
        <f>REPLACE(Table_2[[#This Row],[Open]],6,1,"")</f>
        <v>2,79822</v>
      </c>
      <c r="AE53" s="44">
        <v>43525</v>
      </c>
      <c r="AF53" s="42" t="s">
        <v>418</v>
      </c>
      <c r="AG53" s="42" t="s">
        <v>227</v>
      </c>
      <c r="AH53" s="42" t="s">
        <v>328</v>
      </c>
      <c r="AI53" s="42" t="s">
        <v>140</v>
      </c>
      <c r="AJ53" s="42" t="s">
        <v>140</v>
      </c>
      <c r="AK53" s="42" t="s">
        <v>521</v>
      </c>
      <c r="AM53">
        <f t="shared" si="2"/>
        <v>1583.17</v>
      </c>
      <c r="AN53" t="str">
        <f>REPLACE(Table_2__2[[#This Row],[Open]],6,1,"")</f>
        <v>1,58317</v>
      </c>
      <c r="AO53" s="44">
        <v>43523</v>
      </c>
      <c r="AP53" s="42" t="s">
        <v>753</v>
      </c>
      <c r="AQ53" s="42" t="s">
        <v>753</v>
      </c>
      <c r="AR53" s="42" t="s">
        <v>754</v>
      </c>
      <c r="AS53" s="42" t="s">
        <v>755</v>
      </c>
      <c r="AT53" s="42" t="s">
        <v>755</v>
      </c>
      <c r="AU53" s="42" t="s">
        <v>12</v>
      </c>
    </row>
    <row r="54" spans="14:47" x14ac:dyDescent="0.3">
      <c r="N54" s="48"/>
      <c r="Y54" s="1">
        <v>51</v>
      </c>
      <c r="Z54" s="42"/>
      <c r="AA54" s="44">
        <f>Table_2[[#This Row],[Date]]</f>
        <v>43524</v>
      </c>
      <c r="AB54" s="42">
        <f t="shared" si="0"/>
        <v>1585.21</v>
      </c>
      <c r="AC54" s="42">
        <f t="shared" si="1"/>
        <v>2788.11</v>
      </c>
      <c r="AD54" s="42" t="str">
        <f>REPLACE(Table_2[[#This Row],[Open]],6,1,"")</f>
        <v>2,78811</v>
      </c>
      <c r="AE54" s="44">
        <v>43524</v>
      </c>
      <c r="AF54" s="42" t="s">
        <v>410</v>
      </c>
      <c r="AG54" s="42" t="s">
        <v>216</v>
      </c>
      <c r="AH54" s="42" t="s">
        <v>317</v>
      </c>
      <c r="AI54" s="42" t="s">
        <v>129</v>
      </c>
      <c r="AJ54" s="42" t="s">
        <v>129</v>
      </c>
      <c r="AK54" s="42" t="s">
        <v>522</v>
      </c>
      <c r="AM54">
        <f t="shared" si="2"/>
        <v>1585.21</v>
      </c>
      <c r="AN54" t="str">
        <f>REPLACE(Table_2__2[[#This Row],[Open]],6,1,"")</f>
        <v>1,58521</v>
      </c>
      <c r="AO54" s="44">
        <v>43522</v>
      </c>
      <c r="AP54" s="42" t="s">
        <v>756</v>
      </c>
      <c r="AQ54" s="42" t="s">
        <v>757</v>
      </c>
      <c r="AR54" s="42" t="s">
        <v>758</v>
      </c>
      <c r="AS54" s="42" t="s">
        <v>759</v>
      </c>
      <c r="AT54" s="42" t="s">
        <v>759</v>
      </c>
      <c r="AU54" s="42" t="s">
        <v>12</v>
      </c>
    </row>
    <row r="55" spans="14:47" x14ac:dyDescent="0.3">
      <c r="N55" s="48"/>
      <c r="Y55" s="1">
        <v>52</v>
      </c>
      <c r="Z55" s="42"/>
      <c r="AA55" s="44">
        <f>Table_2[[#This Row],[Date]]</f>
        <v>43523</v>
      </c>
      <c r="AB55" s="42">
        <f t="shared" si="0"/>
        <v>1590.52</v>
      </c>
      <c r="AC55" s="42">
        <f t="shared" si="1"/>
        <v>2787.5</v>
      </c>
      <c r="AD55" s="42" t="str">
        <f>REPLACE(Table_2[[#This Row],[Open]],6,1,"")</f>
        <v>2,78750</v>
      </c>
      <c r="AE55" s="44">
        <v>43523</v>
      </c>
      <c r="AF55" s="42" t="s">
        <v>409</v>
      </c>
      <c r="AG55" s="42" t="s">
        <v>218</v>
      </c>
      <c r="AH55" s="42" t="s">
        <v>315</v>
      </c>
      <c r="AI55" s="42" t="s">
        <v>133</v>
      </c>
      <c r="AJ55" s="42" t="s">
        <v>133</v>
      </c>
      <c r="AK55" s="42" t="s">
        <v>523</v>
      </c>
      <c r="AM55">
        <f t="shared" si="2"/>
        <v>1590.52</v>
      </c>
      <c r="AN55" t="str">
        <f>REPLACE(Table_2__2[[#This Row],[Open]],6,1,"")</f>
        <v>1,59052</v>
      </c>
      <c r="AO55" s="44">
        <v>43521</v>
      </c>
      <c r="AP55" s="42" t="s">
        <v>760</v>
      </c>
      <c r="AQ55" s="42" t="s">
        <v>761</v>
      </c>
      <c r="AR55" s="42" t="s">
        <v>762</v>
      </c>
      <c r="AS55" s="42" t="s">
        <v>763</v>
      </c>
      <c r="AT55" s="42" t="s">
        <v>763</v>
      </c>
      <c r="AU55" s="42" t="s">
        <v>12</v>
      </c>
    </row>
    <row r="56" spans="14:47" x14ac:dyDescent="0.3">
      <c r="N56" s="48"/>
      <c r="Y56" s="1">
        <v>53</v>
      </c>
      <c r="Z56" s="42"/>
      <c r="AA56" s="44">
        <f>Table_2[[#This Row],[Date]]</f>
        <v>43522</v>
      </c>
      <c r="AB56" s="42">
        <f t="shared" si="0"/>
        <v>1573.01</v>
      </c>
      <c r="AC56" s="42">
        <f t="shared" si="1"/>
        <v>2792.36</v>
      </c>
      <c r="AD56" s="42" t="str">
        <f>REPLACE(Table_2[[#This Row],[Open]],6,1,"")</f>
        <v>2,79236</v>
      </c>
      <c r="AE56" s="44">
        <v>43522</v>
      </c>
      <c r="AF56" s="42" t="s">
        <v>411</v>
      </c>
      <c r="AG56" s="42" t="s">
        <v>219</v>
      </c>
      <c r="AH56" s="42" t="s">
        <v>318</v>
      </c>
      <c r="AI56" s="42" t="s">
        <v>136</v>
      </c>
      <c r="AJ56" s="42" t="s">
        <v>136</v>
      </c>
      <c r="AK56" s="42" t="s">
        <v>524</v>
      </c>
      <c r="AM56">
        <f t="shared" si="2"/>
        <v>1573.01</v>
      </c>
      <c r="AN56" t="str">
        <f>REPLACE(Table_2__2[[#This Row],[Open]],6,1,"")</f>
        <v>1,57301</v>
      </c>
      <c r="AO56" s="44">
        <v>43518</v>
      </c>
      <c r="AP56" s="42" t="s">
        <v>764</v>
      </c>
      <c r="AQ56" s="42" t="s">
        <v>765</v>
      </c>
      <c r="AR56" s="42" t="s">
        <v>764</v>
      </c>
      <c r="AS56" s="42" t="s">
        <v>766</v>
      </c>
      <c r="AT56" s="42" t="s">
        <v>766</v>
      </c>
      <c r="AU56" s="42" t="s">
        <v>12</v>
      </c>
    </row>
    <row r="57" spans="14:47" x14ac:dyDescent="0.3">
      <c r="N57" s="48"/>
      <c r="Y57" s="1">
        <v>54</v>
      </c>
      <c r="Z57" s="42"/>
      <c r="AA57" s="44">
        <f>Table_2[[#This Row],[Date]]</f>
        <v>43521</v>
      </c>
      <c r="AB57" s="42">
        <f t="shared" si="0"/>
        <v>1585.82</v>
      </c>
      <c r="AC57" s="42">
        <f t="shared" si="1"/>
        <v>2804.35</v>
      </c>
      <c r="AD57" s="42" t="str">
        <f>REPLACE(Table_2[[#This Row],[Open]],6,1,"")</f>
        <v>2,80435</v>
      </c>
      <c r="AE57" s="44">
        <v>43521</v>
      </c>
      <c r="AF57" s="42" t="s">
        <v>412</v>
      </c>
      <c r="AG57" s="42" t="s">
        <v>220</v>
      </c>
      <c r="AH57" s="42" t="s">
        <v>319</v>
      </c>
      <c r="AI57" s="42" t="s">
        <v>137</v>
      </c>
      <c r="AJ57" s="42" t="s">
        <v>137</v>
      </c>
      <c r="AK57" s="42" t="s">
        <v>525</v>
      </c>
      <c r="AM57">
        <f t="shared" si="2"/>
        <v>1585.82</v>
      </c>
      <c r="AN57" t="str">
        <f>REPLACE(Table_2__2[[#This Row],[Open]],6,1,"")</f>
        <v>1,58582</v>
      </c>
      <c r="AO57" s="44">
        <v>43517</v>
      </c>
      <c r="AP57" s="42" t="s">
        <v>767</v>
      </c>
      <c r="AQ57" s="42" t="s">
        <v>768</v>
      </c>
      <c r="AR57" s="42" t="s">
        <v>769</v>
      </c>
      <c r="AS57" s="42" t="s">
        <v>769</v>
      </c>
      <c r="AT57" s="42" t="s">
        <v>769</v>
      </c>
      <c r="AU57" s="42" t="s">
        <v>12</v>
      </c>
    </row>
    <row r="58" spans="14:47" x14ac:dyDescent="0.3">
      <c r="N58" s="48"/>
      <c r="Y58" s="1">
        <v>55</v>
      </c>
      <c r="Z58" s="42"/>
      <c r="AA58" s="44">
        <f>Table_2[[#This Row],[Date]]</f>
        <v>43518</v>
      </c>
      <c r="AB58" s="42">
        <f t="shared" si="0"/>
        <v>1587.55</v>
      </c>
      <c r="AC58" s="42">
        <f t="shared" si="1"/>
        <v>2780.67</v>
      </c>
      <c r="AD58" s="42" t="str">
        <f>REPLACE(Table_2[[#This Row],[Open]],6,1,"")</f>
        <v>2,78067</v>
      </c>
      <c r="AE58" s="44">
        <v>43518</v>
      </c>
      <c r="AF58" s="42" t="s">
        <v>408</v>
      </c>
      <c r="AG58" s="42" t="s">
        <v>217</v>
      </c>
      <c r="AH58" s="42" t="s">
        <v>316</v>
      </c>
      <c r="AI58" s="42" t="s">
        <v>134</v>
      </c>
      <c r="AJ58" s="42" t="s">
        <v>134</v>
      </c>
      <c r="AK58" s="42" t="s">
        <v>526</v>
      </c>
      <c r="AM58">
        <f t="shared" si="2"/>
        <v>1587.55</v>
      </c>
      <c r="AN58" t="str">
        <f>REPLACE(Table_2__2[[#This Row],[Open]],6,1,"")</f>
        <v>1,58755</v>
      </c>
      <c r="AO58" s="44">
        <v>43516</v>
      </c>
      <c r="AP58" s="42" t="s">
        <v>770</v>
      </c>
      <c r="AQ58" s="42" t="s">
        <v>771</v>
      </c>
      <c r="AR58" s="42" t="s">
        <v>772</v>
      </c>
      <c r="AS58" s="42" t="s">
        <v>773</v>
      </c>
      <c r="AT58" s="42" t="s">
        <v>773</v>
      </c>
      <c r="AU58" s="42" t="s">
        <v>12</v>
      </c>
    </row>
    <row r="59" spans="14:47" x14ac:dyDescent="0.3">
      <c r="N59" s="48"/>
      <c r="Y59" s="1">
        <v>56</v>
      </c>
      <c r="Z59" s="42"/>
      <c r="AA59" s="44">
        <f>Table_2[[#This Row],[Date]]</f>
        <v>43517</v>
      </c>
      <c r="AB59" s="42">
        <f t="shared" si="0"/>
        <v>1584.02</v>
      </c>
      <c r="AC59" s="42">
        <f t="shared" si="1"/>
        <v>2780.24</v>
      </c>
      <c r="AD59" s="42" t="str">
        <f>REPLACE(Table_2[[#This Row],[Open]],6,1,"")</f>
        <v>2,78024</v>
      </c>
      <c r="AE59" s="44">
        <v>43517</v>
      </c>
      <c r="AF59" s="42" t="s">
        <v>407</v>
      </c>
      <c r="AG59" s="42" t="s">
        <v>213</v>
      </c>
      <c r="AH59" s="42" t="s">
        <v>312</v>
      </c>
      <c r="AI59" s="42" t="s">
        <v>125</v>
      </c>
      <c r="AJ59" s="42" t="s">
        <v>125</v>
      </c>
      <c r="AK59" s="42" t="s">
        <v>527</v>
      </c>
      <c r="AM59">
        <f t="shared" si="2"/>
        <v>1584.02</v>
      </c>
      <c r="AN59" t="str">
        <f>REPLACE(Table_2__2[[#This Row],[Open]],6,1,"")</f>
        <v>1,58402</v>
      </c>
      <c r="AO59" s="44">
        <v>43515</v>
      </c>
      <c r="AP59" s="42" t="s">
        <v>774</v>
      </c>
      <c r="AQ59" s="42" t="s">
        <v>775</v>
      </c>
      <c r="AR59" s="42" t="s">
        <v>776</v>
      </c>
      <c r="AS59" s="42" t="s">
        <v>777</v>
      </c>
      <c r="AT59" s="42" t="s">
        <v>777</v>
      </c>
      <c r="AU59" s="42" t="s">
        <v>12</v>
      </c>
    </row>
    <row r="60" spans="14:47" x14ac:dyDescent="0.3">
      <c r="N60" s="48"/>
      <c r="Y60" s="1">
        <v>57</v>
      </c>
      <c r="Z60" s="42"/>
      <c r="AA60" s="44">
        <f>Table_2[[#This Row],[Date]]</f>
        <v>43516</v>
      </c>
      <c r="AB60" s="42">
        <f t="shared" si="0"/>
        <v>1583.45</v>
      </c>
      <c r="AC60" s="42">
        <f t="shared" si="1"/>
        <v>2779.05</v>
      </c>
      <c r="AD60" s="42" t="str">
        <f>REPLACE(Table_2[[#This Row],[Open]],6,1,"")</f>
        <v>2,77905</v>
      </c>
      <c r="AE60" s="44">
        <v>43516</v>
      </c>
      <c r="AF60" s="42" t="s">
        <v>406</v>
      </c>
      <c r="AG60" s="42" t="s">
        <v>215</v>
      </c>
      <c r="AH60" s="42" t="s">
        <v>314</v>
      </c>
      <c r="AI60" s="42" t="s">
        <v>130</v>
      </c>
      <c r="AJ60" s="42" t="s">
        <v>130</v>
      </c>
      <c r="AK60" s="42" t="s">
        <v>528</v>
      </c>
      <c r="AM60">
        <f t="shared" si="2"/>
        <v>1583.45</v>
      </c>
      <c r="AN60" t="str">
        <f>REPLACE(Table_2__2[[#This Row],[Open]],6,1,"")</f>
        <v>1,58345</v>
      </c>
      <c r="AO60" s="44">
        <v>43514</v>
      </c>
      <c r="AP60" s="42" t="s">
        <v>778</v>
      </c>
      <c r="AQ60" s="42" t="s">
        <v>779</v>
      </c>
      <c r="AR60" s="42" t="s">
        <v>780</v>
      </c>
      <c r="AS60" s="42" t="s">
        <v>781</v>
      </c>
      <c r="AT60" s="42" t="s">
        <v>781</v>
      </c>
      <c r="AU60" s="42" t="s">
        <v>12</v>
      </c>
    </row>
    <row r="61" spans="14:47" x14ac:dyDescent="0.3">
      <c r="N61" s="48"/>
      <c r="Y61" s="1">
        <v>58</v>
      </c>
      <c r="Z61" s="42"/>
      <c r="AA61" s="44">
        <f>Table_2[[#This Row],[Date]]</f>
        <v>43515</v>
      </c>
      <c r="AB61" s="42">
        <f t="shared" si="0"/>
        <v>1561.95</v>
      </c>
      <c r="AC61" s="42">
        <f t="shared" si="1"/>
        <v>2769.28</v>
      </c>
      <c r="AD61" s="42" t="str">
        <f>REPLACE(Table_2[[#This Row],[Open]],6,1,"")</f>
        <v>2,76928</v>
      </c>
      <c r="AE61" s="44">
        <v>43515</v>
      </c>
      <c r="AF61" s="42" t="s">
        <v>405</v>
      </c>
      <c r="AG61" s="42" t="s">
        <v>214</v>
      </c>
      <c r="AH61" s="42" t="s">
        <v>313</v>
      </c>
      <c r="AI61" s="42" t="s">
        <v>127</v>
      </c>
      <c r="AJ61" s="42" t="s">
        <v>127</v>
      </c>
      <c r="AK61" s="42" t="s">
        <v>529</v>
      </c>
      <c r="AM61">
        <f t="shared" si="2"/>
        <v>1561.95</v>
      </c>
      <c r="AN61" t="str">
        <f>REPLACE(Table_2__2[[#This Row],[Open]],6,1,"")</f>
        <v>1,56195</v>
      </c>
      <c r="AO61" s="44">
        <v>43511</v>
      </c>
      <c r="AP61" s="42" t="s">
        <v>782</v>
      </c>
      <c r="AQ61" s="42" t="s">
        <v>783</v>
      </c>
      <c r="AR61" s="42" t="s">
        <v>784</v>
      </c>
      <c r="AS61" s="42" t="s">
        <v>785</v>
      </c>
      <c r="AT61" s="42" t="s">
        <v>785</v>
      </c>
      <c r="AU61" s="42" t="s">
        <v>12</v>
      </c>
    </row>
    <row r="62" spans="14:47" x14ac:dyDescent="0.3">
      <c r="N62" s="48"/>
      <c r="Y62" s="1">
        <v>59</v>
      </c>
      <c r="Z62" s="42"/>
      <c r="AA62" s="44">
        <f>Table_2[[#This Row],[Date]]</f>
        <v>43511</v>
      </c>
      <c r="AB62" s="42">
        <f t="shared" si="0"/>
        <v>1559.55</v>
      </c>
      <c r="AC62" s="42">
        <f t="shared" si="1"/>
        <v>2760.24</v>
      </c>
      <c r="AD62" s="42" t="str">
        <f>REPLACE(Table_2[[#This Row],[Open]],6,1,"")</f>
        <v>2,76024</v>
      </c>
      <c r="AE62" s="44">
        <v>43511</v>
      </c>
      <c r="AF62" s="42" t="s">
        <v>311</v>
      </c>
      <c r="AG62" s="42" t="s">
        <v>212</v>
      </c>
      <c r="AH62" s="42" t="s">
        <v>311</v>
      </c>
      <c r="AI62" s="42" t="s">
        <v>126</v>
      </c>
      <c r="AJ62" s="42" t="s">
        <v>126</v>
      </c>
      <c r="AK62" s="42" t="s">
        <v>530</v>
      </c>
      <c r="AM62">
        <f t="shared" si="2"/>
        <v>1559.55</v>
      </c>
      <c r="AN62" t="str">
        <f>REPLACE(Table_2__2[[#This Row],[Open]],6,1,"")</f>
        <v>1,55955</v>
      </c>
      <c r="AO62" s="44">
        <v>43510</v>
      </c>
      <c r="AP62" s="42" t="s">
        <v>786</v>
      </c>
      <c r="AQ62" s="42" t="s">
        <v>787</v>
      </c>
      <c r="AR62" s="42" t="s">
        <v>788</v>
      </c>
      <c r="AS62" s="42" t="s">
        <v>789</v>
      </c>
      <c r="AT62" s="42" t="s">
        <v>789</v>
      </c>
      <c r="AU62" s="42" t="s">
        <v>12</v>
      </c>
    </row>
    <row r="63" spans="14:47" x14ac:dyDescent="0.3">
      <c r="N63" s="48"/>
      <c r="Y63" s="1">
        <v>60</v>
      </c>
      <c r="Z63" s="42"/>
      <c r="AA63" s="44">
        <f>Table_2[[#This Row],[Date]]</f>
        <v>43510</v>
      </c>
      <c r="AB63" s="42">
        <f t="shared" si="0"/>
        <v>1550.43</v>
      </c>
      <c r="AC63" s="42">
        <f t="shared" si="1"/>
        <v>2743.5</v>
      </c>
      <c r="AD63" s="42" t="str">
        <f>REPLACE(Table_2[[#This Row],[Open]],6,1,"")</f>
        <v>2,74350</v>
      </c>
      <c r="AE63" s="44">
        <v>43510</v>
      </c>
      <c r="AF63" s="42" t="s">
        <v>403</v>
      </c>
      <c r="AG63" s="42" t="s">
        <v>210</v>
      </c>
      <c r="AH63" s="42" t="s">
        <v>309</v>
      </c>
      <c r="AI63" s="42" t="s">
        <v>121</v>
      </c>
      <c r="AJ63" s="42" t="s">
        <v>121</v>
      </c>
      <c r="AK63" s="42" t="s">
        <v>531</v>
      </c>
      <c r="AM63">
        <f t="shared" si="2"/>
        <v>1550.43</v>
      </c>
      <c r="AN63" t="str">
        <f>REPLACE(Table_2__2[[#This Row],[Open]],6,1,"")</f>
        <v>1,55043</v>
      </c>
      <c r="AO63" s="44">
        <v>43509</v>
      </c>
      <c r="AP63" s="42" t="s">
        <v>790</v>
      </c>
      <c r="AQ63" s="42" t="s">
        <v>791</v>
      </c>
      <c r="AR63" s="42" t="s">
        <v>792</v>
      </c>
      <c r="AS63" s="42" t="s">
        <v>793</v>
      </c>
      <c r="AT63" s="42" t="s">
        <v>793</v>
      </c>
      <c r="AU63" s="42" t="s">
        <v>12</v>
      </c>
    </row>
    <row r="64" spans="14:47" x14ac:dyDescent="0.3">
      <c r="N64" s="48"/>
      <c r="Y64" s="1">
        <v>61</v>
      </c>
      <c r="Z64" s="42"/>
      <c r="AA64" s="44">
        <f>Table_2[[#This Row],[Date]]</f>
        <v>43509</v>
      </c>
      <c r="AB64" s="42">
        <f t="shared" si="0"/>
        <v>1543.85</v>
      </c>
      <c r="AC64" s="42">
        <f t="shared" si="1"/>
        <v>2750.3</v>
      </c>
      <c r="AD64" s="42" t="str">
        <f>REPLACE(Table_2[[#This Row],[Open]],6,1,"")</f>
        <v>2,75030</v>
      </c>
      <c r="AE64" s="44">
        <v>43509</v>
      </c>
      <c r="AF64" s="42" t="s">
        <v>404</v>
      </c>
      <c r="AG64" s="42" t="s">
        <v>211</v>
      </c>
      <c r="AH64" s="42" t="s">
        <v>310</v>
      </c>
      <c r="AI64" s="42" t="s">
        <v>123</v>
      </c>
      <c r="AJ64" s="42" t="s">
        <v>123</v>
      </c>
      <c r="AK64" s="42" t="s">
        <v>532</v>
      </c>
      <c r="AM64">
        <f t="shared" si="2"/>
        <v>1543.85</v>
      </c>
      <c r="AN64" t="str">
        <f>REPLACE(Table_2__2[[#This Row],[Open]],6,1,"")</f>
        <v>1,54385</v>
      </c>
      <c r="AO64" s="44">
        <v>43508</v>
      </c>
      <c r="AP64" s="42" t="s">
        <v>794</v>
      </c>
      <c r="AQ64" s="42" t="s">
        <v>795</v>
      </c>
      <c r="AR64" s="42" t="s">
        <v>796</v>
      </c>
      <c r="AS64" s="42" t="s">
        <v>797</v>
      </c>
      <c r="AT64" s="42" t="s">
        <v>797</v>
      </c>
      <c r="AU64" s="42" t="s">
        <v>12</v>
      </c>
    </row>
    <row r="65" spans="14:47" x14ac:dyDescent="0.3">
      <c r="N65" s="48"/>
      <c r="Y65" s="1">
        <v>62</v>
      </c>
      <c r="Z65" s="42"/>
      <c r="AA65" s="44">
        <f>Table_2[[#This Row],[Date]]</f>
        <v>43508</v>
      </c>
      <c r="AB65" s="42">
        <f t="shared" si="0"/>
        <v>1528.2</v>
      </c>
      <c r="AC65" s="42">
        <f t="shared" si="1"/>
        <v>2722.61</v>
      </c>
      <c r="AD65" s="42" t="str">
        <f>REPLACE(Table_2[[#This Row],[Open]],6,1,"")</f>
        <v>2,72261</v>
      </c>
      <c r="AE65" s="44">
        <v>43508</v>
      </c>
      <c r="AF65" s="42" t="s">
        <v>306</v>
      </c>
      <c r="AG65" s="42" t="s">
        <v>209</v>
      </c>
      <c r="AH65" s="42" t="s">
        <v>306</v>
      </c>
      <c r="AI65" s="42" t="s">
        <v>120</v>
      </c>
      <c r="AJ65" s="42" t="s">
        <v>120</v>
      </c>
      <c r="AK65" s="42" t="s">
        <v>533</v>
      </c>
      <c r="AM65">
        <f t="shared" si="2"/>
        <v>1528.2</v>
      </c>
      <c r="AN65" t="str">
        <f>REPLACE(Table_2__2[[#This Row],[Open]],6,1,"")</f>
        <v>1,52820</v>
      </c>
      <c r="AO65" s="44">
        <v>43507</v>
      </c>
      <c r="AP65" s="42" t="s">
        <v>798</v>
      </c>
      <c r="AQ65" s="42" t="s">
        <v>799</v>
      </c>
      <c r="AR65" s="42" t="s">
        <v>798</v>
      </c>
      <c r="AS65" s="42" t="s">
        <v>800</v>
      </c>
      <c r="AT65" s="42" t="s">
        <v>800</v>
      </c>
      <c r="AU65" s="42" t="s">
        <v>12</v>
      </c>
    </row>
    <row r="66" spans="14:47" x14ac:dyDescent="0.3">
      <c r="N66" s="48"/>
      <c r="Y66" s="1">
        <v>63</v>
      </c>
      <c r="Z66" s="42"/>
      <c r="AA66" s="44">
        <f>Table_2[[#This Row],[Date]]</f>
        <v>43507</v>
      </c>
      <c r="AB66" s="42">
        <f t="shared" si="0"/>
        <v>1529.43</v>
      </c>
      <c r="AC66" s="42">
        <f t="shared" si="1"/>
        <v>2712.4</v>
      </c>
      <c r="AD66" s="42" t="str">
        <f>REPLACE(Table_2[[#This Row],[Open]],6,1,"")</f>
        <v>2,71240</v>
      </c>
      <c r="AE66" s="44">
        <v>43507</v>
      </c>
      <c r="AF66" s="42" t="s">
        <v>399</v>
      </c>
      <c r="AG66" s="42" t="s">
        <v>204</v>
      </c>
      <c r="AH66" s="42" t="s">
        <v>305</v>
      </c>
      <c r="AI66" s="42" t="s">
        <v>115</v>
      </c>
      <c r="AJ66" s="42" t="s">
        <v>115</v>
      </c>
      <c r="AK66" s="42" t="s">
        <v>534</v>
      </c>
      <c r="AM66">
        <f t="shared" si="2"/>
        <v>1529.43</v>
      </c>
      <c r="AN66" t="str">
        <f>REPLACE(Table_2__2[[#This Row],[Open]],6,1,"")</f>
        <v>1,52943</v>
      </c>
      <c r="AO66" s="44">
        <v>43504</v>
      </c>
      <c r="AP66" s="42" t="s">
        <v>801</v>
      </c>
      <c r="AQ66" s="42" t="s">
        <v>802</v>
      </c>
      <c r="AR66" s="42" t="s">
        <v>803</v>
      </c>
      <c r="AS66" s="42" t="s">
        <v>804</v>
      </c>
      <c r="AT66" s="42" t="s">
        <v>804</v>
      </c>
      <c r="AU66" s="42" t="s">
        <v>12</v>
      </c>
    </row>
    <row r="67" spans="14:47" x14ac:dyDescent="0.3">
      <c r="N67" s="48"/>
      <c r="Y67" s="1">
        <v>64</v>
      </c>
      <c r="Z67" s="42"/>
      <c r="AA67" s="44">
        <f>Table_2[[#This Row],[Date]]</f>
        <v>43504</v>
      </c>
      <c r="AB67" s="42">
        <f t="shared" si="0"/>
        <v>1551.35</v>
      </c>
      <c r="AC67" s="42">
        <f t="shared" si="1"/>
        <v>2692.36</v>
      </c>
      <c r="AD67" s="42" t="str">
        <f>REPLACE(Table_2[[#This Row],[Open]],6,1,"")</f>
        <v>2,69236</v>
      </c>
      <c r="AE67" s="44">
        <v>43504</v>
      </c>
      <c r="AF67" s="42" t="s">
        <v>396</v>
      </c>
      <c r="AG67" s="42" t="s">
        <v>202</v>
      </c>
      <c r="AH67" s="42" t="s">
        <v>301</v>
      </c>
      <c r="AI67" s="42" t="s">
        <v>114</v>
      </c>
      <c r="AJ67" s="42" t="s">
        <v>114</v>
      </c>
      <c r="AK67" s="42" t="s">
        <v>535</v>
      </c>
      <c r="AM67">
        <f t="shared" si="2"/>
        <v>1551.35</v>
      </c>
      <c r="AN67" t="str">
        <f>REPLACE(Table_2__2[[#This Row],[Open]],6,1,"")</f>
        <v>1,55135</v>
      </c>
      <c r="AO67" s="44">
        <v>43503</v>
      </c>
      <c r="AP67" s="42" t="s">
        <v>805</v>
      </c>
      <c r="AQ67" s="42" t="s">
        <v>806</v>
      </c>
      <c r="AR67" s="42" t="s">
        <v>807</v>
      </c>
      <c r="AS67" s="42" t="s">
        <v>807</v>
      </c>
      <c r="AT67" s="42" t="s">
        <v>807</v>
      </c>
      <c r="AU67" s="42" t="s">
        <v>12</v>
      </c>
    </row>
    <row r="68" spans="14:47" x14ac:dyDescent="0.3">
      <c r="N68" s="48"/>
      <c r="Y68" s="1">
        <v>65</v>
      </c>
      <c r="Z68" s="42"/>
      <c r="AA68" s="44">
        <f>Table_2[[#This Row],[Date]]</f>
        <v>43503</v>
      </c>
      <c r="AB68" s="42">
        <f t="shared" si="0"/>
        <v>1542.11</v>
      </c>
      <c r="AC68" s="42">
        <f t="shared" si="1"/>
        <v>2717.53</v>
      </c>
      <c r="AD68" s="42" t="str">
        <f>REPLACE(Table_2[[#This Row],[Open]],6,1,"")</f>
        <v>2,71753</v>
      </c>
      <c r="AE68" s="44">
        <v>43503</v>
      </c>
      <c r="AF68" s="42" t="s">
        <v>400</v>
      </c>
      <c r="AG68" s="42" t="s">
        <v>205</v>
      </c>
      <c r="AH68" s="42" t="s">
        <v>302</v>
      </c>
      <c r="AI68" s="42" t="s">
        <v>112</v>
      </c>
      <c r="AJ68" s="42" t="s">
        <v>112</v>
      </c>
      <c r="AK68" s="42" t="s">
        <v>536</v>
      </c>
      <c r="AM68">
        <f t="shared" si="2"/>
        <v>1542.11</v>
      </c>
      <c r="AN68" t="str">
        <f>REPLACE(Table_2__2[[#This Row],[Open]],6,1,"")</f>
        <v>1,54211</v>
      </c>
      <c r="AO68" s="44">
        <v>43502</v>
      </c>
      <c r="AP68" s="42" t="s">
        <v>808</v>
      </c>
      <c r="AQ68" s="42" t="s">
        <v>809</v>
      </c>
      <c r="AR68" s="42" t="s">
        <v>810</v>
      </c>
      <c r="AS68" s="42" t="s">
        <v>811</v>
      </c>
      <c r="AT68" s="42" t="s">
        <v>811</v>
      </c>
      <c r="AU68" s="42" t="s">
        <v>12</v>
      </c>
    </row>
    <row r="69" spans="14:47" x14ac:dyDescent="0.3">
      <c r="N69" s="48"/>
      <c r="Y69" s="1">
        <v>66</v>
      </c>
      <c r="Z69" s="42"/>
      <c r="AA69" s="44">
        <f>Table_2[[#This Row],[Date]]</f>
        <v>43502</v>
      </c>
      <c r="AB69" s="42">
        <f t="shared" ref="AB69:AB103" si="3">REPLACE(AN69,2,1,"")/100</f>
        <v>1526.35</v>
      </c>
      <c r="AC69" s="42">
        <f t="shared" ref="AC69:AC103" si="4">REPLACE(AD69,2,1,"")/100</f>
        <v>2735.05</v>
      </c>
      <c r="AD69" s="42" t="str">
        <f>REPLACE(Table_2[[#This Row],[Open]],6,1,"")</f>
        <v>2,73505</v>
      </c>
      <c r="AE69" s="44">
        <v>43502</v>
      </c>
      <c r="AF69" s="42" t="s">
        <v>402</v>
      </c>
      <c r="AG69" s="42" t="s">
        <v>207</v>
      </c>
      <c r="AH69" s="42" t="s">
        <v>308</v>
      </c>
      <c r="AI69" s="42" t="s">
        <v>117</v>
      </c>
      <c r="AJ69" s="42" t="s">
        <v>117</v>
      </c>
      <c r="AK69" s="42" t="s">
        <v>537</v>
      </c>
      <c r="AM69">
        <f t="shared" ref="AM69:AM103" si="5">REPLACE(AN69,2,1,"")/100</f>
        <v>1526.35</v>
      </c>
      <c r="AN69" t="str">
        <f>REPLACE(Table_2__2[[#This Row],[Open]],6,1,"")</f>
        <v>1,52635</v>
      </c>
      <c r="AO69" s="44">
        <v>43501</v>
      </c>
      <c r="AP69" s="42" t="s">
        <v>812</v>
      </c>
      <c r="AQ69" s="42" t="s">
        <v>813</v>
      </c>
      <c r="AR69" s="42" t="s">
        <v>812</v>
      </c>
      <c r="AS69" s="42" t="s">
        <v>814</v>
      </c>
      <c r="AT69" s="42" t="s">
        <v>814</v>
      </c>
      <c r="AU69" s="42" t="s">
        <v>12</v>
      </c>
    </row>
    <row r="70" spans="14:47" x14ac:dyDescent="0.3">
      <c r="N70" s="48"/>
      <c r="Y70" s="1">
        <v>67</v>
      </c>
      <c r="Z70" s="42"/>
      <c r="AA70" s="44">
        <f>Table_2[[#This Row],[Date]]</f>
        <v>43501</v>
      </c>
      <c r="AB70" s="42">
        <f t="shared" si="3"/>
        <v>1526.89</v>
      </c>
      <c r="AC70" s="42">
        <f t="shared" si="4"/>
        <v>2728.34</v>
      </c>
      <c r="AD70" s="42" t="str">
        <f>REPLACE(Table_2[[#This Row],[Open]],6,1,"")</f>
        <v>2,72834</v>
      </c>
      <c r="AE70" s="44">
        <v>43501</v>
      </c>
      <c r="AF70" s="42" t="s">
        <v>401</v>
      </c>
      <c r="AG70" s="42" t="s">
        <v>208</v>
      </c>
      <c r="AH70" s="42" t="s">
        <v>307</v>
      </c>
      <c r="AI70" s="42" t="s">
        <v>118</v>
      </c>
      <c r="AJ70" s="42" t="s">
        <v>118</v>
      </c>
      <c r="AK70" s="42" t="s">
        <v>538</v>
      </c>
      <c r="AM70">
        <f t="shared" si="5"/>
        <v>1526.89</v>
      </c>
      <c r="AN70" t="str">
        <f>REPLACE(Table_2__2[[#This Row],[Open]],6,1,"")</f>
        <v>1,52689</v>
      </c>
      <c r="AO70" s="44">
        <v>43500</v>
      </c>
      <c r="AP70" s="42" t="s">
        <v>815</v>
      </c>
      <c r="AQ70" s="42" t="s">
        <v>816</v>
      </c>
      <c r="AR70" s="42" t="s">
        <v>817</v>
      </c>
      <c r="AS70" s="42" t="s">
        <v>818</v>
      </c>
      <c r="AT70" s="42" t="s">
        <v>818</v>
      </c>
      <c r="AU70" s="42" t="s">
        <v>12</v>
      </c>
    </row>
    <row r="71" spans="14:47" x14ac:dyDescent="0.3">
      <c r="N71" s="48"/>
      <c r="Y71" s="1">
        <v>68</v>
      </c>
      <c r="Z71" s="42"/>
      <c r="AA71" s="44">
        <f>Table_2[[#This Row],[Date]]</f>
        <v>43500</v>
      </c>
      <c r="AB71" s="42">
        <f t="shared" si="3"/>
        <v>1515.78</v>
      </c>
      <c r="AC71" s="42">
        <f t="shared" si="4"/>
        <v>2706.49</v>
      </c>
      <c r="AD71" s="42" t="str">
        <f>REPLACE(Table_2[[#This Row],[Open]],6,1,"")</f>
        <v>2,70649</v>
      </c>
      <c r="AE71" s="44">
        <v>43500</v>
      </c>
      <c r="AF71" s="42" t="s">
        <v>398</v>
      </c>
      <c r="AG71" s="42" t="s">
        <v>206</v>
      </c>
      <c r="AH71" s="42" t="s">
        <v>304</v>
      </c>
      <c r="AI71" s="42" t="s">
        <v>116</v>
      </c>
      <c r="AJ71" s="42" t="s">
        <v>116</v>
      </c>
      <c r="AK71" s="42" t="s">
        <v>539</v>
      </c>
      <c r="AM71">
        <f t="shared" si="5"/>
        <v>1515.78</v>
      </c>
      <c r="AN71" t="str">
        <f>REPLACE(Table_2__2[[#This Row],[Open]],6,1,"")</f>
        <v>1,51578</v>
      </c>
      <c r="AO71" s="44">
        <v>43497</v>
      </c>
      <c r="AP71" s="42" t="s">
        <v>819</v>
      </c>
      <c r="AQ71" s="42" t="s">
        <v>820</v>
      </c>
      <c r="AR71" s="42" t="s">
        <v>821</v>
      </c>
      <c r="AS71" s="42" t="s">
        <v>822</v>
      </c>
      <c r="AT71" s="42" t="s">
        <v>822</v>
      </c>
      <c r="AU71" s="42" t="s">
        <v>823</v>
      </c>
    </row>
    <row r="72" spans="14:47" x14ac:dyDescent="0.3">
      <c r="N72" s="48"/>
      <c r="Y72" s="1">
        <v>69</v>
      </c>
      <c r="Z72" s="42"/>
      <c r="AA72" s="44">
        <f>Table_2[[#This Row],[Date]]</f>
        <v>43497</v>
      </c>
      <c r="AB72" s="42">
        <f t="shared" si="3"/>
        <v>1510.51</v>
      </c>
      <c r="AC72" s="42">
        <f t="shared" si="4"/>
        <v>2702.32</v>
      </c>
      <c r="AD72" s="42" t="str">
        <f>REPLACE(Table_2[[#This Row],[Open]],6,1,"")</f>
        <v>2,70232</v>
      </c>
      <c r="AE72" s="44">
        <v>43497</v>
      </c>
      <c r="AF72" s="42" t="s">
        <v>397</v>
      </c>
      <c r="AG72" s="42" t="s">
        <v>203</v>
      </c>
      <c r="AH72" s="42" t="s">
        <v>303</v>
      </c>
      <c r="AI72" s="42" t="s">
        <v>113</v>
      </c>
      <c r="AJ72" s="42" t="s">
        <v>113</v>
      </c>
      <c r="AK72" s="42" t="s">
        <v>540</v>
      </c>
      <c r="AM72">
        <f t="shared" si="5"/>
        <v>1510.51</v>
      </c>
      <c r="AN72" t="str">
        <f>REPLACE(Table_2__2[[#This Row],[Open]],6,1,"")</f>
        <v>1,51051</v>
      </c>
      <c r="AO72" s="44">
        <v>43496</v>
      </c>
      <c r="AP72" s="42" t="s">
        <v>824</v>
      </c>
      <c r="AQ72" s="42" t="s">
        <v>825</v>
      </c>
      <c r="AR72" s="42" t="s">
        <v>826</v>
      </c>
      <c r="AS72" s="42" t="s">
        <v>827</v>
      </c>
      <c r="AT72" s="42" t="s">
        <v>827</v>
      </c>
      <c r="AU72" s="42" t="s">
        <v>12</v>
      </c>
    </row>
    <row r="73" spans="14:47" x14ac:dyDescent="0.3">
      <c r="N73" s="48"/>
      <c r="Y73" s="1">
        <v>70</v>
      </c>
      <c r="Z73" s="42"/>
      <c r="AA73" s="44">
        <f>Table_2[[#This Row],[Date]]</f>
        <v>43496</v>
      </c>
      <c r="AB73" s="42">
        <f t="shared" si="3"/>
        <v>1501.88</v>
      </c>
      <c r="AC73" s="42">
        <f t="shared" si="4"/>
        <v>2685.49</v>
      </c>
      <c r="AD73" s="42" t="str">
        <f>REPLACE(Table_2[[#This Row],[Open]],6,1,"")</f>
        <v>2,68549</v>
      </c>
      <c r="AE73" s="44">
        <v>43496</v>
      </c>
      <c r="AF73" s="42" t="s">
        <v>395</v>
      </c>
      <c r="AG73" s="42" t="s">
        <v>201</v>
      </c>
      <c r="AH73" s="42" t="s">
        <v>300</v>
      </c>
      <c r="AI73" s="42" t="s">
        <v>111</v>
      </c>
      <c r="AJ73" s="42" t="s">
        <v>111</v>
      </c>
      <c r="AK73" s="42" t="s">
        <v>541</v>
      </c>
      <c r="AM73">
        <f t="shared" si="5"/>
        <v>1501.88</v>
      </c>
      <c r="AN73" t="str">
        <f>REPLACE(Table_2__2[[#This Row],[Open]],6,1,"")</f>
        <v>1,50188</v>
      </c>
      <c r="AO73" s="44">
        <v>43495</v>
      </c>
      <c r="AP73" s="42" t="s">
        <v>828</v>
      </c>
      <c r="AQ73" s="42" t="s">
        <v>829</v>
      </c>
      <c r="AR73" s="42" t="s">
        <v>830</v>
      </c>
      <c r="AS73" s="42" t="s">
        <v>831</v>
      </c>
      <c r="AT73" s="42" t="s">
        <v>831</v>
      </c>
      <c r="AU73" s="42" t="s">
        <v>12</v>
      </c>
    </row>
    <row r="74" spans="14:47" x14ac:dyDescent="0.3">
      <c r="N74" s="48"/>
      <c r="Y74" s="1">
        <v>71</v>
      </c>
      <c r="Z74" s="42"/>
      <c r="AA74" s="44">
        <f>Table_2[[#This Row],[Date]]</f>
        <v>43495</v>
      </c>
      <c r="AB74" s="42">
        <f t="shared" si="3"/>
        <v>1491.38</v>
      </c>
      <c r="AC74" s="42">
        <f t="shared" si="4"/>
        <v>2653.62</v>
      </c>
      <c r="AD74" s="42" t="str">
        <f>REPLACE(Table_2[[#This Row],[Open]],6,1,"")</f>
        <v>2,65362</v>
      </c>
      <c r="AE74" s="44">
        <v>43495</v>
      </c>
      <c r="AF74" s="42" t="s">
        <v>393</v>
      </c>
      <c r="AG74" s="42" t="s">
        <v>200</v>
      </c>
      <c r="AH74" s="42" t="s">
        <v>298</v>
      </c>
      <c r="AI74" s="42" t="s">
        <v>110</v>
      </c>
      <c r="AJ74" s="42" t="s">
        <v>110</v>
      </c>
      <c r="AK74" s="42" t="s">
        <v>542</v>
      </c>
      <c r="AM74">
        <f t="shared" si="5"/>
        <v>1491.38</v>
      </c>
      <c r="AN74" t="str">
        <f>REPLACE(Table_2__2[[#This Row],[Open]],6,1,"")</f>
        <v>1,49138</v>
      </c>
      <c r="AO74" s="44">
        <v>43494</v>
      </c>
      <c r="AP74" s="42" t="s">
        <v>832</v>
      </c>
      <c r="AQ74" s="42" t="s">
        <v>833</v>
      </c>
      <c r="AR74" s="42" t="s">
        <v>834</v>
      </c>
      <c r="AS74" s="42" t="s">
        <v>835</v>
      </c>
      <c r="AT74" s="42" t="s">
        <v>835</v>
      </c>
      <c r="AU74" s="42" t="s">
        <v>12</v>
      </c>
    </row>
    <row r="75" spans="14:47" x14ac:dyDescent="0.3">
      <c r="N75" s="48"/>
      <c r="Y75" s="1">
        <v>72</v>
      </c>
      <c r="Z75" s="42"/>
      <c r="AA75" s="44">
        <f>Table_2[[#This Row],[Date]]</f>
        <v>43494</v>
      </c>
      <c r="AB75" s="42">
        <f t="shared" si="3"/>
        <v>1501.15</v>
      </c>
      <c r="AC75" s="42">
        <f t="shared" si="4"/>
        <v>2644.89</v>
      </c>
      <c r="AD75" s="42" t="str">
        <f>REPLACE(Table_2[[#This Row],[Open]],6,1,"")</f>
        <v>2,64489</v>
      </c>
      <c r="AE75" s="44">
        <v>43494</v>
      </c>
      <c r="AF75" s="42" t="s">
        <v>391</v>
      </c>
      <c r="AG75" s="42" t="s">
        <v>195</v>
      </c>
      <c r="AH75" s="42" t="s">
        <v>296</v>
      </c>
      <c r="AI75" s="42" t="s">
        <v>105</v>
      </c>
      <c r="AJ75" s="42" t="s">
        <v>105</v>
      </c>
      <c r="AK75" s="42" t="s">
        <v>543</v>
      </c>
      <c r="AM75">
        <f t="shared" si="5"/>
        <v>1501.15</v>
      </c>
      <c r="AN75" t="str">
        <f>REPLACE(Table_2__2[[#This Row],[Open]],6,1,"")</f>
        <v>1,50115</v>
      </c>
      <c r="AO75" s="44">
        <v>43493</v>
      </c>
      <c r="AP75" s="42" t="s">
        <v>836</v>
      </c>
      <c r="AQ75" s="42" t="s">
        <v>837</v>
      </c>
      <c r="AR75" s="42" t="s">
        <v>838</v>
      </c>
      <c r="AS75" s="42" t="s">
        <v>839</v>
      </c>
      <c r="AT75" s="42" t="s">
        <v>839</v>
      </c>
      <c r="AU75" s="42" t="s">
        <v>12</v>
      </c>
    </row>
    <row r="76" spans="14:47" x14ac:dyDescent="0.3">
      <c r="N76" s="48"/>
      <c r="Y76" s="1">
        <v>73</v>
      </c>
      <c r="Z76" s="42"/>
      <c r="AA76" s="44">
        <f>Table_2[[#This Row],[Date]]</f>
        <v>43493</v>
      </c>
      <c r="AB76" s="42">
        <f t="shared" si="3"/>
        <v>1487.7</v>
      </c>
      <c r="AC76" s="42">
        <f t="shared" si="4"/>
        <v>2644.97</v>
      </c>
      <c r="AD76" s="42" t="str">
        <f>REPLACE(Table_2[[#This Row],[Open]],6,1,"")</f>
        <v>2,64497</v>
      </c>
      <c r="AE76" s="44">
        <v>43493</v>
      </c>
      <c r="AF76" s="42" t="s">
        <v>192</v>
      </c>
      <c r="AG76" s="42" t="s">
        <v>192</v>
      </c>
      <c r="AH76" s="42" t="s">
        <v>294</v>
      </c>
      <c r="AI76" s="42" t="s">
        <v>107</v>
      </c>
      <c r="AJ76" s="42" t="s">
        <v>107</v>
      </c>
      <c r="AK76" s="42" t="s">
        <v>544</v>
      </c>
      <c r="AM76">
        <f t="shared" si="5"/>
        <v>1487.7</v>
      </c>
      <c r="AN76" t="str">
        <f>REPLACE(Table_2__2[[#This Row],[Open]],6,1,"")</f>
        <v>1,48770</v>
      </c>
      <c r="AO76" s="44">
        <v>43490</v>
      </c>
      <c r="AP76" s="42" t="s">
        <v>840</v>
      </c>
      <c r="AQ76" s="42" t="s">
        <v>841</v>
      </c>
      <c r="AR76" s="42" t="s">
        <v>840</v>
      </c>
      <c r="AS76" s="42" t="s">
        <v>842</v>
      </c>
      <c r="AT76" s="42" t="s">
        <v>842</v>
      </c>
      <c r="AU76" s="42" t="s">
        <v>12</v>
      </c>
    </row>
    <row r="77" spans="14:47" x14ac:dyDescent="0.3">
      <c r="N77" s="48"/>
      <c r="Y77" s="1">
        <v>74</v>
      </c>
      <c r="Z77" s="42"/>
      <c r="AA77" s="44">
        <f>Table_2[[#This Row],[Date]]</f>
        <v>43490</v>
      </c>
      <c r="AB77" s="42">
        <f t="shared" si="3"/>
        <v>1479.42</v>
      </c>
      <c r="AC77" s="42">
        <f t="shared" si="4"/>
        <v>2657.44</v>
      </c>
      <c r="AD77" s="42" t="str">
        <f>REPLACE(Table_2[[#This Row],[Open]],6,1,"")</f>
        <v>2,65744</v>
      </c>
      <c r="AE77" s="44">
        <v>43490</v>
      </c>
      <c r="AF77" s="42" t="s">
        <v>394</v>
      </c>
      <c r="AG77" s="42" t="s">
        <v>198</v>
      </c>
      <c r="AH77" s="42" t="s">
        <v>299</v>
      </c>
      <c r="AI77" s="42" t="s">
        <v>108</v>
      </c>
      <c r="AJ77" s="42" t="s">
        <v>108</v>
      </c>
      <c r="AK77" s="42" t="s">
        <v>545</v>
      </c>
      <c r="AM77">
        <f t="shared" si="5"/>
        <v>1479.42</v>
      </c>
      <c r="AN77" t="str">
        <f>REPLACE(Table_2__2[[#This Row],[Open]],6,1,"")</f>
        <v>1,47942</v>
      </c>
      <c r="AO77" s="44">
        <v>43489</v>
      </c>
      <c r="AP77" s="42" t="s">
        <v>843</v>
      </c>
      <c r="AQ77" s="42" t="s">
        <v>844</v>
      </c>
      <c r="AR77" s="42" t="s">
        <v>845</v>
      </c>
      <c r="AS77" s="42" t="s">
        <v>846</v>
      </c>
      <c r="AT77" s="42" t="s">
        <v>846</v>
      </c>
      <c r="AU77" s="42" t="s">
        <v>12</v>
      </c>
    </row>
    <row r="78" spans="14:47" x14ac:dyDescent="0.3">
      <c r="N78" s="48"/>
      <c r="Y78" s="1">
        <v>75</v>
      </c>
      <c r="Z78" s="42"/>
      <c r="AA78" s="44">
        <f>Table_2[[#This Row],[Date]]</f>
        <v>43489</v>
      </c>
      <c r="AB78" s="42">
        <f t="shared" si="3"/>
        <v>1485.9</v>
      </c>
      <c r="AC78" s="42">
        <f t="shared" si="4"/>
        <v>2638.84</v>
      </c>
      <c r="AD78" s="42" t="str">
        <f>REPLACE(Table_2[[#This Row],[Open]],6,1,"")</f>
        <v>2,63884</v>
      </c>
      <c r="AE78" s="44">
        <v>43489</v>
      </c>
      <c r="AF78" s="42" t="s">
        <v>389</v>
      </c>
      <c r="AG78" s="42" t="s">
        <v>194</v>
      </c>
      <c r="AH78" s="42" t="s">
        <v>295</v>
      </c>
      <c r="AI78" s="42" t="s">
        <v>106</v>
      </c>
      <c r="AJ78" s="42" t="s">
        <v>106</v>
      </c>
      <c r="AK78" s="42" t="s">
        <v>546</v>
      </c>
      <c r="AM78">
        <f t="shared" si="5"/>
        <v>1485.9</v>
      </c>
      <c r="AN78" t="str">
        <f>REPLACE(Table_2__2[[#This Row],[Open]],6,1,"")</f>
        <v>1,48590</v>
      </c>
      <c r="AO78" s="44">
        <v>43488</v>
      </c>
      <c r="AP78" s="42" t="s">
        <v>847</v>
      </c>
      <c r="AQ78" s="42" t="s">
        <v>848</v>
      </c>
      <c r="AR78" s="42" t="s">
        <v>849</v>
      </c>
      <c r="AS78" s="42" t="s">
        <v>850</v>
      </c>
      <c r="AT78" s="42" t="s">
        <v>850</v>
      </c>
      <c r="AU78" s="42" t="s">
        <v>12</v>
      </c>
    </row>
    <row r="79" spans="14:47" x14ac:dyDescent="0.3">
      <c r="N79" s="48"/>
      <c r="Y79" s="1">
        <v>76</v>
      </c>
      <c r="Z79" s="42"/>
      <c r="AA79" s="44">
        <f>Table_2[[#This Row],[Date]]</f>
        <v>43488</v>
      </c>
      <c r="AB79" s="42">
        <f t="shared" si="3"/>
        <v>1492.72</v>
      </c>
      <c r="AC79" s="42">
        <f t="shared" si="4"/>
        <v>2643.48</v>
      </c>
      <c r="AD79" s="42" t="str">
        <f>REPLACE(Table_2[[#This Row],[Open]],6,1,"")</f>
        <v>2,64348</v>
      </c>
      <c r="AE79" s="44">
        <v>43488</v>
      </c>
      <c r="AF79" s="42" t="s">
        <v>390</v>
      </c>
      <c r="AG79" s="42" t="s">
        <v>196</v>
      </c>
      <c r="AH79" s="42" t="s">
        <v>292</v>
      </c>
      <c r="AI79" s="42" t="s">
        <v>104</v>
      </c>
      <c r="AJ79" s="42" t="s">
        <v>104</v>
      </c>
      <c r="AK79" s="42" t="s">
        <v>547</v>
      </c>
      <c r="AM79">
        <f t="shared" si="5"/>
        <v>1492.72</v>
      </c>
      <c r="AN79" t="str">
        <f>REPLACE(Table_2__2[[#This Row],[Open]],6,1,"")</f>
        <v>1,49272</v>
      </c>
      <c r="AO79" s="44">
        <v>43487</v>
      </c>
      <c r="AP79" s="42" t="s">
        <v>851</v>
      </c>
      <c r="AQ79" s="42" t="s">
        <v>852</v>
      </c>
      <c r="AR79" s="42" t="s">
        <v>853</v>
      </c>
      <c r="AS79" s="42" t="s">
        <v>854</v>
      </c>
      <c r="AT79" s="42" t="s">
        <v>854</v>
      </c>
      <c r="AU79" s="42" t="s">
        <v>12</v>
      </c>
    </row>
    <row r="80" spans="14:47" x14ac:dyDescent="0.3">
      <c r="N80" s="48"/>
      <c r="Y80" s="1">
        <v>77</v>
      </c>
      <c r="Z80" s="42"/>
      <c r="AA80" s="44">
        <f>Table_2[[#This Row],[Date]]</f>
        <v>43487</v>
      </c>
      <c r="AB80" s="42">
        <f t="shared" si="3"/>
        <v>1499.88</v>
      </c>
      <c r="AC80" s="42">
        <f t="shared" si="4"/>
        <v>2657.88</v>
      </c>
      <c r="AD80" s="42" t="str">
        <f>REPLACE(Table_2[[#This Row],[Open]],6,1,"")</f>
        <v>2,65788</v>
      </c>
      <c r="AE80" s="44">
        <v>43487</v>
      </c>
      <c r="AF80" s="42" t="s">
        <v>197</v>
      </c>
      <c r="AG80" s="42" t="s">
        <v>197</v>
      </c>
      <c r="AH80" s="42" t="s">
        <v>293</v>
      </c>
      <c r="AI80" s="42" t="s">
        <v>102</v>
      </c>
      <c r="AJ80" s="42" t="s">
        <v>102</v>
      </c>
      <c r="AK80" s="42" t="s">
        <v>548</v>
      </c>
      <c r="AM80">
        <f t="shared" si="5"/>
        <v>1499.88</v>
      </c>
      <c r="AN80" t="str">
        <f>REPLACE(Table_2__2[[#This Row],[Open]],6,1,"")</f>
        <v>1,49988</v>
      </c>
      <c r="AO80" s="44">
        <v>43486</v>
      </c>
      <c r="AP80" s="42" t="s">
        <v>855</v>
      </c>
      <c r="AQ80" s="42" t="s">
        <v>856</v>
      </c>
      <c r="AR80" s="42" t="s">
        <v>857</v>
      </c>
      <c r="AS80" s="42" t="s">
        <v>858</v>
      </c>
      <c r="AT80" s="42" t="s">
        <v>858</v>
      </c>
      <c r="AU80" s="42" t="s">
        <v>12</v>
      </c>
    </row>
    <row r="81" spans="14:47" x14ac:dyDescent="0.3">
      <c r="N81" s="48"/>
      <c r="Y81" s="1">
        <v>78</v>
      </c>
      <c r="Z81" s="42"/>
      <c r="AA81" s="44">
        <f>Table_2[[#This Row],[Date]]</f>
        <v>43483</v>
      </c>
      <c r="AB81" s="42">
        <f t="shared" si="3"/>
        <v>1474.62</v>
      </c>
      <c r="AC81" s="42">
        <f t="shared" si="4"/>
        <v>2651.27</v>
      </c>
      <c r="AD81" s="42" t="str">
        <f>REPLACE(Table_2[[#This Row],[Open]],6,1,"")</f>
        <v>2,65127</v>
      </c>
      <c r="AE81" s="44">
        <v>43483</v>
      </c>
      <c r="AF81" s="42" t="s">
        <v>392</v>
      </c>
      <c r="AG81" s="42" t="s">
        <v>199</v>
      </c>
      <c r="AH81" s="42" t="s">
        <v>297</v>
      </c>
      <c r="AI81" s="42" t="s">
        <v>109</v>
      </c>
      <c r="AJ81" s="42" t="s">
        <v>109</v>
      </c>
      <c r="AK81" s="42" t="s">
        <v>549</v>
      </c>
      <c r="AM81">
        <f t="shared" si="5"/>
        <v>1474.62</v>
      </c>
      <c r="AN81" t="str">
        <f>REPLACE(Table_2__2[[#This Row],[Open]],6,1,"")</f>
        <v>1,47462</v>
      </c>
      <c r="AO81" s="44">
        <v>43483</v>
      </c>
      <c r="AP81" s="42" t="s">
        <v>859</v>
      </c>
      <c r="AQ81" s="42" t="s">
        <v>860</v>
      </c>
      <c r="AR81" s="42" t="s">
        <v>859</v>
      </c>
      <c r="AS81" s="42" t="s">
        <v>860</v>
      </c>
      <c r="AT81" s="42" t="s">
        <v>860</v>
      </c>
      <c r="AU81" s="42" t="s">
        <v>12</v>
      </c>
    </row>
    <row r="82" spans="14:47" x14ac:dyDescent="0.3">
      <c r="N82" s="48"/>
      <c r="Y82" s="1">
        <v>79</v>
      </c>
      <c r="Z82" s="42"/>
      <c r="AA82" s="44">
        <f>Table_2[[#This Row],[Date]]</f>
        <v>43482</v>
      </c>
      <c r="AB82" s="42">
        <f t="shared" si="3"/>
        <v>1468.19</v>
      </c>
      <c r="AC82" s="42">
        <f t="shared" si="4"/>
        <v>2609.2800000000002</v>
      </c>
      <c r="AD82" s="42" t="str">
        <f>REPLACE(Table_2[[#This Row],[Open]],6,1,"")</f>
        <v>2,60928</v>
      </c>
      <c r="AE82" s="44">
        <v>43482</v>
      </c>
      <c r="AF82" s="42" t="s">
        <v>387</v>
      </c>
      <c r="AG82" s="42" t="s">
        <v>193</v>
      </c>
      <c r="AH82" s="42" t="s">
        <v>290</v>
      </c>
      <c r="AI82" s="42" t="s">
        <v>103</v>
      </c>
      <c r="AJ82" s="42" t="s">
        <v>103</v>
      </c>
      <c r="AK82" s="42" t="s">
        <v>550</v>
      </c>
      <c r="AM82">
        <f t="shared" si="5"/>
        <v>1468.19</v>
      </c>
      <c r="AN82" t="str">
        <f>REPLACE(Table_2__2[[#This Row],[Open]],6,1,"")</f>
        <v>1,46819</v>
      </c>
      <c r="AO82" s="44">
        <v>43482</v>
      </c>
      <c r="AP82" s="42" t="s">
        <v>861</v>
      </c>
      <c r="AQ82" s="42" t="s">
        <v>862</v>
      </c>
      <c r="AR82" s="42" t="s">
        <v>863</v>
      </c>
      <c r="AS82" s="42" t="s">
        <v>864</v>
      </c>
      <c r="AT82" s="42" t="s">
        <v>864</v>
      </c>
      <c r="AU82" s="42" t="s">
        <v>12</v>
      </c>
    </row>
    <row r="83" spans="14:47" x14ac:dyDescent="0.3">
      <c r="N83" s="48"/>
      <c r="Y83" s="1">
        <v>80</v>
      </c>
      <c r="Z83" s="42"/>
      <c r="AA83" s="44">
        <f>Table_2[[#This Row],[Date]]</f>
        <v>43481</v>
      </c>
      <c r="AB83" s="42">
        <f t="shared" si="3"/>
        <v>1456.47</v>
      </c>
      <c r="AC83" s="42">
        <f t="shared" si="4"/>
        <v>2614.75</v>
      </c>
      <c r="AD83" s="42" t="str">
        <f>REPLACE(Table_2[[#This Row],[Open]],6,1,"")</f>
        <v>2,61475</v>
      </c>
      <c r="AE83" s="44">
        <v>43481</v>
      </c>
      <c r="AF83" s="42" t="s">
        <v>388</v>
      </c>
      <c r="AG83" s="42" t="s">
        <v>191</v>
      </c>
      <c r="AH83" s="42" t="s">
        <v>291</v>
      </c>
      <c r="AI83" s="42" t="s">
        <v>101</v>
      </c>
      <c r="AJ83" s="42" t="s">
        <v>101</v>
      </c>
      <c r="AK83" s="42" t="s">
        <v>551</v>
      </c>
      <c r="AM83">
        <f t="shared" si="5"/>
        <v>1456.47</v>
      </c>
      <c r="AN83" t="str">
        <f>REPLACE(Table_2__2[[#This Row],[Open]],6,1,"")</f>
        <v>1,45647</v>
      </c>
      <c r="AO83" s="44">
        <v>43481</v>
      </c>
      <c r="AP83" s="42" t="s">
        <v>865</v>
      </c>
      <c r="AQ83" s="42" t="s">
        <v>866</v>
      </c>
      <c r="AR83" s="42" t="s">
        <v>867</v>
      </c>
      <c r="AS83" s="42" t="s">
        <v>868</v>
      </c>
      <c r="AT83" s="42" t="s">
        <v>868</v>
      </c>
      <c r="AU83" s="42" t="s">
        <v>12</v>
      </c>
    </row>
    <row r="84" spans="14:47" x14ac:dyDescent="0.3">
      <c r="N84" s="48"/>
      <c r="Y84" s="1">
        <v>81</v>
      </c>
      <c r="Z84" s="42"/>
      <c r="AA84" s="44">
        <f>Table_2[[#This Row],[Date]]</f>
        <v>43480</v>
      </c>
      <c r="AB84" s="42">
        <f t="shared" si="3"/>
        <v>1459.92</v>
      </c>
      <c r="AC84" s="42">
        <f t="shared" si="4"/>
        <v>2585.1</v>
      </c>
      <c r="AD84" s="42" t="str">
        <f>REPLACE(Table_2[[#This Row],[Open]],6,1,"")</f>
        <v>2,58510</v>
      </c>
      <c r="AE84" s="44">
        <v>43480</v>
      </c>
      <c r="AF84" s="42" t="s">
        <v>289</v>
      </c>
      <c r="AG84" s="42" t="s">
        <v>190</v>
      </c>
      <c r="AH84" s="42" t="s">
        <v>289</v>
      </c>
      <c r="AI84" s="42" t="s">
        <v>100</v>
      </c>
      <c r="AJ84" s="42" t="s">
        <v>100</v>
      </c>
      <c r="AK84" s="42" t="s">
        <v>552</v>
      </c>
      <c r="AM84">
        <f t="shared" si="5"/>
        <v>1459.92</v>
      </c>
      <c r="AN84" t="str">
        <f>REPLACE(Table_2__2[[#This Row],[Open]],6,1,"")</f>
        <v>1,45992</v>
      </c>
      <c r="AO84" s="44">
        <v>43480</v>
      </c>
      <c r="AP84" s="42" t="s">
        <v>869</v>
      </c>
      <c r="AQ84" s="42" t="s">
        <v>870</v>
      </c>
      <c r="AR84" s="42" t="s">
        <v>871</v>
      </c>
      <c r="AS84" s="42" t="s">
        <v>872</v>
      </c>
      <c r="AT84" s="42" t="s">
        <v>872</v>
      </c>
      <c r="AU84" s="42" t="s">
        <v>12</v>
      </c>
    </row>
    <row r="85" spans="14:47" x14ac:dyDescent="0.3">
      <c r="N85" s="48"/>
      <c r="Y85" s="1">
        <v>82</v>
      </c>
      <c r="Z85" s="42"/>
      <c r="AA85" s="44">
        <f>Table_2[[#This Row],[Date]]</f>
        <v>43479</v>
      </c>
      <c r="AB85" s="42">
        <f t="shared" si="3"/>
        <v>1462.62</v>
      </c>
      <c r="AC85" s="42">
        <f t="shared" si="4"/>
        <v>2580.31</v>
      </c>
      <c r="AD85" s="42" t="str">
        <f>REPLACE(Table_2[[#This Row],[Open]],6,1,"")</f>
        <v>2,58031</v>
      </c>
      <c r="AE85" s="44">
        <v>43479</v>
      </c>
      <c r="AF85" s="42" t="s">
        <v>385</v>
      </c>
      <c r="AG85" s="42" t="s">
        <v>186</v>
      </c>
      <c r="AH85" s="42" t="s">
        <v>287</v>
      </c>
      <c r="AI85" s="42" t="s">
        <v>96</v>
      </c>
      <c r="AJ85" s="42" t="s">
        <v>96</v>
      </c>
      <c r="AK85" s="42" t="s">
        <v>553</v>
      </c>
      <c r="AM85">
        <f t="shared" si="5"/>
        <v>1462.62</v>
      </c>
      <c r="AN85" t="str">
        <f>REPLACE(Table_2__2[[#This Row],[Open]],6,1,"")</f>
        <v>1,46262</v>
      </c>
      <c r="AO85" s="44">
        <v>43479</v>
      </c>
      <c r="AP85" s="42" t="s">
        <v>873</v>
      </c>
      <c r="AQ85" s="42" t="s">
        <v>873</v>
      </c>
      <c r="AR85" s="42" t="s">
        <v>874</v>
      </c>
      <c r="AS85" s="42" t="s">
        <v>875</v>
      </c>
      <c r="AT85" s="42" t="s">
        <v>875</v>
      </c>
      <c r="AU85" s="42" t="s">
        <v>12</v>
      </c>
    </row>
    <row r="86" spans="14:47" x14ac:dyDescent="0.3">
      <c r="N86" s="48"/>
      <c r="Y86" s="1">
        <v>83</v>
      </c>
      <c r="Z86" s="42"/>
      <c r="AA86" s="44">
        <f>Table_2[[#This Row],[Date]]</f>
        <v>43476</v>
      </c>
      <c r="AB86" s="42">
        <f t="shared" si="3"/>
        <v>1470.14</v>
      </c>
      <c r="AC86" s="42">
        <f t="shared" si="4"/>
        <v>2588.11</v>
      </c>
      <c r="AD86" s="42" t="str">
        <f>REPLACE(Table_2[[#This Row],[Open]],6,1,"")</f>
        <v>2,58811</v>
      </c>
      <c r="AE86" s="44">
        <v>43476</v>
      </c>
      <c r="AF86" s="42" t="s">
        <v>386</v>
      </c>
      <c r="AG86" s="42" t="s">
        <v>188</v>
      </c>
      <c r="AH86" s="42" t="s">
        <v>288</v>
      </c>
      <c r="AI86" s="42" t="s">
        <v>98</v>
      </c>
      <c r="AJ86" s="42" t="s">
        <v>98</v>
      </c>
      <c r="AK86" s="42" t="s">
        <v>554</v>
      </c>
      <c r="AM86">
        <f t="shared" si="5"/>
        <v>1470.14</v>
      </c>
      <c r="AN86" t="str">
        <f>REPLACE(Table_2__2[[#This Row],[Open]],6,1,"")</f>
        <v>1,47014</v>
      </c>
      <c r="AO86" s="44">
        <v>43476</v>
      </c>
      <c r="AP86" s="42" t="s">
        <v>876</v>
      </c>
      <c r="AQ86" s="42" t="s">
        <v>877</v>
      </c>
      <c r="AR86" s="42" t="s">
        <v>878</v>
      </c>
      <c r="AS86" s="42" t="s">
        <v>879</v>
      </c>
      <c r="AT86" s="42" t="s">
        <v>879</v>
      </c>
      <c r="AU86" s="42" t="s">
        <v>12</v>
      </c>
    </row>
    <row r="87" spans="14:47" x14ac:dyDescent="0.3">
      <c r="N87" s="48"/>
      <c r="Y87" s="1">
        <v>84</v>
      </c>
      <c r="Z87" s="42"/>
      <c r="AA87" s="44">
        <f>Table_2[[#This Row],[Date]]</f>
        <v>43475</v>
      </c>
      <c r="AB87" s="42">
        <f t="shared" si="3"/>
        <v>1469.05</v>
      </c>
      <c r="AC87" s="42">
        <f t="shared" si="4"/>
        <v>2573.5100000000002</v>
      </c>
      <c r="AD87" s="42" t="str">
        <f>REPLACE(Table_2[[#This Row],[Open]],6,1,"")</f>
        <v>2,57351</v>
      </c>
      <c r="AE87" s="44">
        <v>43475</v>
      </c>
      <c r="AF87" s="42" t="s">
        <v>383</v>
      </c>
      <c r="AG87" s="42" t="s">
        <v>189</v>
      </c>
      <c r="AH87" s="42" t="s">
        <v>285</v>
      </c>
      <c r="AI87" s="42" t="s">
        <v>99</v>
      </c>
      <c r="AJ87" s="42" t="s">
        <v>99</v>
      </c>
      <c r="AK87" s="42" t="s">
        <v>555</v>
      </c>
      <c r="AM87">
        <f t="shared" si="5"/>
        <v>1469.05</v>
      </c>
      <c r="AN87" t="str">
        <f>REPLACE(Table_2__2[[#This Row],[Open]],6,1,"")</f>
        <v>1,46905</v>
      </c>
      <c r="AO87" s="44">
        <v>43475</v>
      </c>
      <c r="AP87" s="42" t="s">
        <v>880</v>
      </c>
      <c r="AQ87" s="42" t="s">
        <v>881</v>
      </c>
      <c r="AR87" s="42" t="s">
        <v>882</v>
      </c>
      <c r="AS87" s="42" t="s">
        <v>883</v>
      </c>
      <c r="AT87" s="42" t="s">
        <v>883</v>
      </c>
      <c r="AU87" s="42" t="s">
        <v>12</v>
      </c>
    </row>
    <row r="88" spans="14:47" x14ac:dyDescent="0.3">
      <c r="N88" s="48"/>
      <c r="Y88" s="1">
        <v>85</v>
      </c>
      <c r="Z88" s="42"/>
      <c r="AA88" s="44">
        <f>Table_2[[#This Row],[Date]]</f>
        <v>43474</v>
      </c>
      <c r="AB88" s="42">
        <f t="shared" si="3"/>
        <v>1458.05</v>
      </c>
      <c r="AC88" s="42">
        <f t="shared" si="4"/>
        <v>2580</v>
      </c>
      <c r="AD88" s="42" t="str">
        <f>REPLACE(Table_2[[#This Row],[Open]],6,1,"")</f>
        <v>2,58000</v>
      </c>
      <c r="AE88" s="44">
        <v>43474</v>
      </c>
      <c r="AF88" s="42" t="s">
        <v>384</v>
      </c>
      <c r="AG88" s="42" t="s">
        <v>187</v>
      </c>
      <c r="AH88" s="42" t="s">
        <v>286</v>
      </c>
      <c r="AI88" s="42" t="s">
        <v>97</v>
      </c>
      <c r="AJ88" s="42" t="s">
        <v>97</v>
      </c>
      <c r="AK88" s="42" t="s">
        <v>556</v>
      </c>
      <c r="AM88">
        <f t="shared" si="5"/>
        <v>1458.05</v>
      </c>
      <c r="AN88" t="str">
        <f>REPLACE(Table_2__2[[#This Row],[Open]],6,1,"")</f>
        <v>1,45805</v>
      </c>
      <c r="AO88" s="44">
        <v>43474</v>
      </c>
      <c r="AP88" s="42" t="s">
        <v>884</v>
      </c>
      <c r="AQ88" s="42" t="s">
        <v>885</v>
      </c>
      <c r="AR88" s="42" t="s">
        <v>884</v>
      </c>
      <c r="AS88" s="42" t="s">
        <v>886</v>
      </c>
      <c r="AT88" s="42" t="s">
        <v>886</v>
      </c>
      <c r="AU88" s="42" t="s">
        <v>12</v>
      </c>
    </row>
    <row r="89" spans="14:47" x14ac:dyDescent="0.3">
      <c r="N89" s="48"/>
      <c r="Y89" s="1">
        <v>86</v>
      </c>
      <c r="Z89" s="42"/>
      <c r="AA89" s="44">
        <f>Table_2[[#This Row],[Date]]</f>
        <v>43473</v>
      </c>
      <c r="AB89" s="42">
        <f t="shared" si="3"/>
        <v>1440.74</v>
      </c>
      <c r="AC89" s="42">
        <f t="shared" si="4"/>
        <v>2568.11</v>
      </c>
      <c r="AD89" s="42" t="str">
        <f>REPLACE(Table_2[[#This Row],[Open]],6,1,"")</f>
        <v>2,56811</v>
      </c>
      <c r="AE89" s="44">
        <v>43473</v>
      </c>
      <c r="AF89" s="42" t="s">
        <v>382</v>
      </c>
      <c r="AG89" s="42" t="s">
        <v>185</v>
      </c>
      <c r="AH89" s="42" t="s">
        <v>284</v>
      </c>
      <c r="AI89" s="42" t="s">
        <v>95</v>
      </c>
      <c r="AJ89" s="42" t="s">
        <v>95</v>
      </c>
      <c r="AK89" s="42" t="s">
        <v>557</v>
      </c>
      <c r="AM89">
        <f t="shared" si="5"/>
        <v>1440.74</v>
      </c>
      <c r="AN89" t="str">
        <f>REPLACE(Table_2__2[[#This Row],[Open]],6,1,"")</f>
        <v>1,44074</v>
      </c>
      <c r="AO89" s="44">
        <v>43473</v>
      </c>
      <c r="AP89" s="42" t="s">
        <v>887</v>
      </c>
      <c r="AQ89" s="42" t="s">
        <v>888</v>
      </c>
      <c r="AR89" s="42" t="s">
        <v>889</v>
      </c>
      <c r="AS89" s="42" t="s">
        <v>890</v>
      </c>
      <c r="AT89" s="42" t="s">
        <v>890</v>
      </c>
      <c r="AU89" s="42" t="s">
        <v>891</v>
      </c>
    </row>
    <row r="90" spans="14:47" x14ac:dyDescent="0.3">
      <c r="N90" s="48"/>
      <c r="Y90" s="1">
        <v>87</v>
      </c>
      <c r="Z90" s="42"/>
      <c r="AA90" s="44">
        <f>Table_2[[#This Row],[Date]]</f>
        <v>43472</v>
      </c>
      <c r="AB90" s="42">
        <f t="shared" si="3"/>
        <v>1437.74</v>
      </c>
      <c r="AC90" s="42">
        <f t="shared" si="4"/>
        <v>2535.61</v>
      </c>
      <c r="AD90" s="42" t="str">
        <f>REPLACE(Table_2[[#This Row],[Open]],6,1,"")</f>
        <v>2,53561</v>
      </c>
      <c r="AE90" s="44">
        <v>43472</v>
      </c>
      <c r="AF90" s="42" t="s">
        <v>381</v>
      </c>
      <c r="AG90" s="42" t="s">
        <v>184</v>
      </c>
      <c r="AH90" s="42" t="s">
        <v>283</v>
      </c>
      <c r="AI90" s="42" t="s">
        <v>94</v>
      </c>
      <c r="AJ90" s="42" t="s">
        <v>94</v>
      </c>
      <c r="AK90" s="42" t="s">
        <v>558</v>
      </c>
      <c r="AM90">
        <f t="shared" si="5"/>
        <v>1437.74</v>
      </c>
      <c r="AN90" t="str">
        <f>REPLACE(Table_2__2[[#This Row],[Open]],6,1,"")</f>
        <v>1,43774</v>
      </c>
      <c r="AO90" s="44">
        <v>43472</v>
      </c>
      <c r="AP90" s="42" t="s">
        <v>892</v>
      </c>
      <c r="AQ90" s="42" t="s">
        <v>893</v>
      </c>
      <c r="AR90" s="42" t="s">
        <v>894</v>
      </c>
      <c r="AS90" s="42" t="s">
        <v>895</v>
      </c>
      <c r="AT90" s="42" t="s">
        <v>895</v>
      </c>
      <c r="AU90" s="42" t="s">
        <v>12</v>
      </c>
    </row>
    <row r="91" spans="14:47" x14ac:dyDescent="0.3">
      <c r="N91" s="48"/>
      <c r="Y91" s="1">
        <v>88</v>
      </c>
      <c r="Z91" s="42"/>
      <c r="AA91" s="44">
        <f>Table_2[[#This Row],[Date]]</f>
        <v>43469</v>
      </c>
      <c r="AB91" s="42">
        <f t="shared" si="3"/>
        <v>1395.28</v>
      </c>
      <c r="AC91" s="42">
        <f t="shared" si="4"/>
        <v>2474.33</v>
      </c>
      <c r="AD91" s="42" t="str">
        <f>REPLACE(Table_2[[#This Row],[Open]],6,1,"")</f>
        <v>2,47433</v>
      </c>
      <c r="AE91" s="44">
        <v>43469</v>
      </c>
      <c r="AF91" s="42" t="s">
        <v>282</v>
      </c>
      <c r="AG91" s="42" t="s">
        <v>183</v>
      </c>
      <c r="AH91" s="42" t="s">
        <v>282</v>
      </c>
      <c r="AI91" s="42" t="s">
        <v>91</v>
      </c>
      <c r="AJ91" s="42" t="s">
        <v>91</v>
      </c>
      <c r="AK91" s="42" t="s">
        <v>559</v>
      </c>
      <c r="AM91">
        <f t="shared" si="5"/>
        <v>1395.28</v>
      </c>
      <c r="AN91" t="str">
        <f>REPLACE(Table_2__2[[#This Row],[Open]],6,1,"")</f>
        <v>1,39528</v>
      </c>
      <c r="AO91" s="44">
        <v>43469</v>
      </c>
      <c r="AP91" s="42" t="s">
        <v>896</v>
      </c>
      <c r="AQ91" s="42" t="s">
        <v>897</v>
      </c>
      <c r="AR91" s="42" t="s">
        <v>896</v>
      </c>
      <c r="AS91" s="42" t="s">
        <v>898</v>
      </c>
      <c r="AT91" s="42" t="s">
        <v>898</v>
      </c>
      <c r="AU91" s="42" t="s">
        <v>12</v>
      </c>
    </row>
    <row r="92" spans="14:47" x14ac:dyDescent="0.3">
      <c r="N92" s="48"/>
      <c r="Y92" s="1">
        <v>89</v>
      </c>
      <c r="Z92" s="42"/>
      <c r="AA92" s="44">
        <f>Table_2[[#This Row],[Date]]</f>
        <v>43468</v>
      </c>
      <c r="AB92" s="42">
        <f t="shared" si="3"/>
        <v>1403.8</v>
      </c>
      <c r="AC92" s="42">
        <f t="shared" si="4"/>
        <v>2491.92</v>
      </c>
      <c r="AD92" s="42" t="str">
        <f>REPLACE(Table_2[[#This Row],[Open]],6,1,"")</f>
        <v>2,49192</v>
      </c>
      <c r="AE92" s="44">
        <v>43468</v>
      </c>
      <c r="AF92" s="42" t="s">
        <v>380</v>
      </c>
      <c r="AG92" s="42" t="s">
        <v>181</v>
      </c>
      <c r="AH92" s="42" t="s">
        <v>280</v>
      </c>
      <c r="AI92" s="42" t="s">
        <v>83</v>
      </c>
      <c r="AJ92" s="42" t="s">
        <v>83</v>
      </c>
      <c r="AK92" s="42" t="s">
        <v>560</v>
      </c>
      <c r="AM92">
        <f t="shared" si="5"/>
        <v>1403.8</v>
      </c>
      <c r="AN92" t="str">
        <f>REPLACE(Table_2__2[[#This Row],[Open]],6,1,"")</f>
        <v>1,40380</v>
      </c>
      <c r="AO92" s="44">
        <v>43468</v>
      </c>
      <c r="AP92" s="42" t="s">
        <v>899</v>
      </c>
      <c r="AQ92" s="42" t="s">
        <v>900</v>
      </c>
      <c r="AR92" s="42" t="s">
        <v>901</v>
      </c>
      <c r="AS92" s="42" t="s">
        <v>902</v>
      </c>
      <c r="AT92" s="42" t="s">
        <v>902</v>
      </c>
      <c r="AU92" s="42" t="s">
        <v>12</v>
      </c>
    </row>
    <row r="93" spans="14:47" x14ac:dyDescent="0.3">
      <c r="N93" s="48"/>
      <c r="Y93" s="1">
        <v>90</v>
      </c>
      <c r="Z93" s="42"/>
      <c r="AA93" s="44">
        <f>Table_2[[#This Row],[Date]]</f>
        <v>43467</v>
      </c>
      <c r="AB93" s="42">
        <f t="shared" si="3"/>
        <v>1407.65</v>
      </c>
      <c r="AC93" s="42">
        <f t="shared" si="4"/>
        <v>2476.96</v>
      </c>
      <c r="AD93" s="42" t="str">
        <f>REPLACE(Table_2[[#This Row],[Open]],6,1,"")</f>
        <v>2,47696</v>
      </c>
      <c r="AE93" s="44">
        <v>43467</v>
      </c>
      <c r="AF93" s="42" t="s">
        <v>379</v>
      </c>
      <c r="AG93" s="42" t="s">
        <v>182</v>
      </c>
      <c r="AH93" s="42" t="s">
        <v>281</v>
      </c>
      <c r="AI93" s="42" t="s">
        <v>90</v>
      </c>
      <c r="AJ93" s="42" t="s">
        <v>90</v>
      </c>
      <c r="AK93" s="42" t="s">
        <v>561</v>
      </c>
      <c r="AM93">
        <f t="shared" si="5"/>
        <v>1407.65</v>
      </c>
      <c r="AN93" t="str">
        <f>REPLACE(Table_2__2[[#This Row],[Open]],6,1,"")</f>
        <v>1,40765</v>
      </c>
      <c r="AO93" s="44">
        <v>43467</v>
      </c>
      <c r="AP93" s="42" t="s">
        <v>903</v>
      </c>
      <c r="AQ93" s="42" t="s">
        <v>904</v>
      </c>
      <c r="AR93" s="42" t="s">
        <v>905</v>
      </c>
      <c r="AS93" s="42" t="s">
        <v>906</v>
      </c>
      <c r="AT93" s="42" t="s">
        <v>906</v>
      </c>
      <c r="AU93" s="42" t="s">
        <v>12</v>
      </c>
    </row>
    <row r="94" spans="14:47" x14ac:dyDescent="0.3">
      <c r="N94" s="48"/>
      <c r="Y94" s="1">
        <v>91</v>
      </c>
      <c r="Z94" s="42"/>
      <c r="AA94" s="44">
        <f>Table_2[[#This Row],[Date]]</f>
        <v>43465</v>
      </c>
      <c r="AB94" s="42">
        <f t="shared" si="3"/>
        <v>1387.52</v>
      </c>
      <c r="AC94" s="42">
        <f t="shared" si="4"/>
        <v>2498.94</v>
      </c>
      <c r="AD94" s="42" t="str">
        <f>REPLACE(Table_2[[#This Row],[Open]],6,1,"")</f>
        <v>2,49894</v>
      </c>
      <c r="AE94" s="44">
        <v>43465</v>
      </c>
      <c r="AF94" s="42" t="s">
        <v>461</v>
      </c>
      <c r="AG94" s="42" t="s">
        <v>274</v>
      </c>
      <c r="AH94" s="42" t="s">
        <v>375</v>
      </c>
      <c r="AI94" s="42" t="s">
        <v>88</v>
      </c>
      <c r="AJ94" s="42" t="s">
        <v>88</v>
      </c>
      <c r="AK94" s="42" t="s">
        <v>562</v>
      </c>
      <c r="AM94">
        <f t="shared" si="5"/>
        <v>1387.52</v>
      </c>
      <c r="AN94" t="str">
        <f>REPLACE(Table_2__2[[#This Row],[Open]],6,1,"")</f>
        <v>1,38752</v>
      </c>
      <c r="AO94" s="44">
        <v>43462</v>
      </c>
      <c r="AP94" s="42" t="s">
        <v>907</v>
      </c>
      <c r="AQ94" s="42" t="s">
        <v>908</v>
      </c>
      <c r="AR94" s="42" t="s">
        <v>907</v>
      </c>
      <c r="AS94" s="42" t="s">
        <v>909</v>
      </c>
      <c r="AT94" s="42" t="s">
        <v>909</v>
      </c>
      <c r="AU94" s="42" t="s">
        <v>12</v>
      </c>
    </row>
    <row r="95" spans="14:47" x14ac:dyDescent="0.3">
      <c r="N95" s="48"/>
      <c r="Y95" s="1">
        <v>92</v>
      </c>
      <c r="Z95" s="42"/>
      <c r="AA95" s="44">
        <f>Table_2[[#This Row],[Date]]</f>
        <v>43462</v>
      </c>
      <c r="AB95" s="42">
        <f t="shared" si="3"/>
        <v>1409.99</v>
      </c>
      <c r="AC95" s="42">
        <f t="shared" si="4"/>
        <v>2498.77</v>
      </c>
      <c r="AD95" s="42" t="str">
        <f>REPLACE(Table_2[[#This Row],[Open]],6,1,"")</f>
        <v>2,49877</v>
      </c>
      <c r="AE95" s="44">
        <v>43462</v>
      </c>
      <c r="AF95" s="42" t="s">
        <v>460</v>
      </c>
      <c r="AG95" s="42" t="s">
        <v>276</v>
      </c>
      <c r="AH95" s="42" t="s">
        <v>374</v>
      </c>
      <c r="AI95" s="42" t="s">
        <v>86</v>
      </c>
      <c r="AJ95" s="42" t="s">
        <v>86</v>
      </c>
      <c r="AK95" s="42" t="s">
        <v>563</v>
      </c>
      <c r="AM95">
        <f t="shared" si="5"/>
        <v>1409.99</v>
      </c>
      <c r="AN95" t="str">
        <f>REPLACE(Table_2__2[[#This Row],[Open]],6,1,"")</f>
        <v>1,40999</v>
      </c>
      <c r="AO95" s="44">
        <v>43461</v>
      </c>
      <c r="AP95" s="42" t="s">
        <v>910</v>
      </c>
      <c r="AQ95" s="42" t="s">
        <v>911</v>
      </c>
      <c r="AR95" s="42" t="s">
        <v>912</v>
      </c>
      <c r="AS95" s="42" t="s">
        <v>913</v>
      </c>
      <c r="AT95" s="42" t="s">
        <v>913</v>
      </c>
      <c r="AU95" s="42" t="s">
        <v>12</v>
      </c>
    </row>
    <row r="96" spans="14:47" x14ac:dyDescent="0.3">
      <c r="N96" s="48"/>
      <c r="Y96" s="1">
        <v>93</v>
      </c>
      <c r="Z96" s="42"/>
      <c r="AA96" s="44">
        <f>Table_2[[#This Row],[Date]]</f>
        <v>43461</v>
      </c>
      <c r="AB96" s="42">
        <f t="shared" si="3"/>
        <v>1418.34</v>
      </c>
      <c r="AC96" s="42">
        <f t="shared" si="4"/>
        <v>2442.5</v>
      </c>
      <c r="AD96" s="42" t="str">
        <f>REPLACE(Table_2[[#This Row],[Open]],6,1,"")</f>
        <v>2,44250</v>
      </c>
      <c r="AE96" s="44">
        <v>43461</v>
      </c>
      <c r="AF96" s="42" t="s">
        <v>457</v>
      </c>
      <c r="AG96" s="42" t="s">
        <v>272</v>
      </c>
      <c r="AH96" s="42" t="s">
        <v>371</v>
      </c>
      <c r="AI96" s="42" t="s">
        <v>87</v>
      </c>
      <c r="AJ96" s="42" t="s">
        <v>87</v>
      </c>
      <c r="AK96" s="42" t="s">
        <v>564</v>
      </c>
      <c r="AM96">
        <f t="shared" si="5"/>
        <v>1418.34</v>
      </c>
      <c r="AN96" t="str">
        <f>REPLACE(Table_2__2[[#This Row],[Open]],6,1,"")</f>
        <v>1,41834</v>
      </c>
      <c r="AO96" s="44">
        <v>43455</v>
      </c>
      <c r="AP96" s="42" t="s">
        <v>914</v>
      </c>
      <c r="AQ96" s="42" t="s">
        <v>915</v>
      </c>
      <c r="AR96" s="42" t="s">
        <v>916</v>
      </c>
      <c r="AS96" s="42" t="s">
        <v>917</v>
      </c>
      <c r="AT96" s="42" t="s">
        <v>917</v>
      </c>
      <c r="AU96" s="42" t="s">
        <v>12</v>
      </c>
    </row>
    <row r="97" spans="14:47" x14ac:dyDescent="0.3">
      <c r="N97" s="48"/>
      <c r="Y97" s="1">
        <v>94</v>
      </c>
      <c r="Z97" s="42"/>
      <c r="AA97" s="44">
        <f>Table_2[[#This Row],[Date]]</f>
        <v>43460</v>
      </c>
      <c r="AB97" s="42">
        <f t="shared" si="3"/>
        <v>1446.83</v>
      </c>
      <c r="AC97" s="42">
        <f t="shared" si="4"/>
        <v>2363.12</v>
      </c>
      <c r="AD97" s="42" t="str">
        <f>REPLACE(Table_2[[#This Row],[Open]],6,1,"")</f>
        <v>2,36312</v>
      </c>
      <c r="AE97" s="44">
        <v>43460</v>
      </c>
      <c r="AF97" s="42" t="s">
        <v>455</v>
      </c>
      <c r="AG97" s="42" t="s">
        <v>271</v>
      </c>
      <c r="AH97" s="42" t="s">
        <v>370</v>
      </c>
      <c r="AI97" s="42" t="s">
        <v>85</v>
      </c>
      <c r="AJ97" s="42" t="s">
        <v>85</v>
      </c>
      <c r="AK97" s="42" t="s">
        <v>565</v>
      </c>
      <c r="AM97">
        <f t="shared" si="5"/>
        <v>1446.83</v>
      </c>
      <c r="AN97" t="str">
        <f>REPLACE(Table_2__2[[#This Row],[Open]],6,1,"")</f>
        <v>1,44683</v>
      </c>
      <c r="AO97" s="44">
        <v>43454</v>
      </c>
      <c r="AP97" s="42" t="s">
        <v>918</v>
      </c>
      <c r="AQ97" s="42" t="s">
        <v>918</v>
      </c>
      <c r="AR97" s="42" t="s">
        <v>919</v>
      </c>
      <c r="AS97" s="42" t="s">
        <v>919</v>
      </c>
      <c r="AT97" s="42" t="s">
        <v>919</v>
      </c>
      <c r="AU97" s="42" t="s">
        <v>12</v>
      </c>
    </row>
    <row r="98" spans="14:47" x14ac:dyDescent="0.3">
      <c r="N98" s="48"/>
      <c r="Y98" s="1">
        <v>95</v>
      </c>
      <c r="Z98" s="42"/>
      <c r="AA98" s="44">
        <f>Table_2[[#This Row],[Date]]</f>
        <v>43458</v>
      </c>
      <c r="AB98" s="42">
        <f t="shared" si="3"/>
        <v>1447.29</v>
      </c>
      <c r="AC98" s="42">
        <f t="shared" si="4"/>
        <v>2400.56</v>
      </c>
      <c r="AD98" s="42" t="str">
        <f>REPLACE(Table_2[[#This Row],[Open]],6,1,"")</f>
        <v>2,40056</v>
      </c>
      <c r="AE98" s="44">
        <v>43458</v>
      </c>
      <c r="AF98" s="42" t="s">
        <v>456</v>
      </c>
      <c r="AG98" s="42" t="s">
        <v>270</v>
      </c>
      <c r="AH98" s="42" t="s">
        <v>81</v>
      </c>
      <c r="AI98" s="42" t="s">
        <v>81</v>
      </c>
      <c r="AJ98" s="42" t="s">
        <v>81</v>
      </c>
      <c r="AK98" s="42" t="s">
        <v>566</v>
      </c>
      <c r="AM98">
        <f t="shared" si="5"/>
        <v>1447.29</v>
      </c>
      <c r="AN98" t="str">
        <f>REPLACE(Table_2__2[[#This Row],[Open]],6,1,"")</f>
        <v>1,44729</v>
      </c>
      <c r="AO98" s="44">
        <v>43453</v>
      </c>
      <c r="AP98" s="42" t="s">
        <v>920</v>
      </c>
      <c r="AQ98" s="42" t="s">
        <v>921</v>
      </c>
      <c r="AR98" s="42" t="s">
        <v>922</v>
      </c>
      <c r="AS98" s="42" t="s">
        <v>923</v>
      </c>
      <c r="AT98" s="42" t="s">
        <v>923</v>
      </c>
      <c r="AU98" s="42" t="s">
        <v>12</v>
      </c>
    </row>
    <row r="99" spans="14:47" x14ac:dyDescent="0.3">
      <c r="N99" s="48"/>
      <c r="Y99" s="1">
        <v>96</v>
      </c>
      <c r="Z99" s="42"/>
      <c r="AA99" s="44">
        <f>Table_2[[#This Row],[Date]]</f>
        <v>43455</v>
      </c>
      <c r="AB99" s="42">
        <f t="shared" si="3"/>
        <v>1450.73</v>
      </c>
      <c r="AC99" s="42">
        <f t="shared" si="4"/>
        <v>2465.38</v>
      </c>
      <c r="AD99" s="42" t="str">
        <f>REPLACE(Table_2[[#This Row],[Open]],6,1,"")</f>
        <v>2,46538</v>
      </c>
      <c r="AE99" s="44">
        <v>43455</v>
      </c>
      <c r="AF99" s="42" t="s">
        <v>458</v>
      </c>
      <c r="AG99" s="42" t="s">
        <v>273</v>
      </c>
      <c r="AH99" s="42" t="s">
        <v>372</v>
      </c>
      <c r="AI99" s="42" t="s">
        <v>82</v>
      </c>
      <c r="AJ99" s="42" t="s">
        <v>82</v>
      </c>
      <c r="AK99" s="42" t="s">
        <v>567</v>
      </c>
      <c r="AM99">
        <f t="shared" si="5"/>
        <v>1450.73</v>
      </c>
      <c r="AN99" t="str">
        <f>REPLACE(Table_2__2[[#This Row],[Open]],6,1,"")</f>
        <v>1,45073</v>
      </c>
      <c r="AO99" s="44">
        <v>43452</v>
      </c>
      <c r="AP99" s="42" t="s">
        <v>924</v>
      </c>
      <c r="AQ99" s="42" t="s">
        <v>925</v>
      </c>
      <c r="AR99" s="42" t="s">
        <v>926</v>
      </c>
      <c r="AS99" s="42" t="s">
        <v>927</v>
      </c>
      <c r="AT99" s="42" t="s">
        <v>927</v>
      </c>
      <c r="AU99" s="42" t="s">
        <v>12</v>
      </c>
    </row>
    <row r="100" spans="14:47" x14ac:dyDescent="0.3">
      <c r="N100" s="48"/>
      <c r="Y100" s="1">
        <v>97</v>
      </c>
      <c r="Z100" s="42"/>
      <c r="AA100" s="44">
        <f>Table_2[[#This Row],[Date]]</f>
        <v>43454</v>
      </c>
      <c r="AB100" s="42">
        <f t="shared" si="3"/>
        <v>1471.68</v>
      </c>
      <c r="AC100" s="42">
        <f t="shared" si="4"/>
        <v>2496.77</v>
      </c>
      <c r="AD100" s="42" t="str">
        <f>REPLACE(Table_2[[#This Row],[Open]],6,1,"")</f>
        <v>2,49677</v>
      </c>
      <c r="AE100" s="44">
        <v>43454</v>
      </c>
      <c r="AF100" s="42" t="s">
        <v>459</v>
      </c>
      <c r="AG100" s="42" t="s">
        <v>275</v>
      </c>
      <c r="AH100" s="42" t="s">
        <v>373</v>
      </c>
      <c r="AI100" s="42" t="s">
        <v>84</v>
      </c>
      <c r="AJ100" s="42" t="s">
        <v>84</v>
      </c>
      <c r="AK100" s="42" t="s">
        <v>568</v>
      </c>
      <c r="AM100">
        <f t="shared" si="5"/>
        <v>1471.68</v>
      </c>
      <c r="AN100" t="str">
        <f>REPLACE(Table_2__2[[#This Row],[Open]],6,1,"")</f>
        <v>1,47168</v>
      </c>
      <c r="AO100" s="44">
        <v>43451</v>
      </c>
      <c r="AP100" s="42" t="s">
        <v>928</v>
      </c>
      <c r="AQ100" s="42" t="s">
        <v>928</v>
      </c>
      <c r="AR100" s="42" t="s">
        <v>929</v>
      </c>
      <c r="AS100" s="42" t="s">
        <v>930</v>
      </c>
      <c r="AT100" s="42" t="s">
        <v>930</v>
      </c>
      <c r="AU100" s="42" t="s">
        <v>12</v>
      </c>
    </row>
    <row r="101" spans="14:47" x14ac:dyDescent="0.3">
      <c r="N101" s="48"/>
      <c r="Y101" s="1">
        <v>98</v>
      </c>
      <c r="Z101" s="42"/>
      <c r="AA101" s="44">
        <f>Table_2[[#This Row],[Date]]</f>
        <v>43453</v>
      </c>
      <c r="AB101" s="42">
        <f t="shared" si="3"/>
        <v>1477.27</v>
      </c>
      <c r="AC101" s="42">
        <f t="shared" si="4"/>
        <v>2547.0500000000002</v>
      </c>
      <c r="AD101" s="42" t="str">
        <f>REPLACE(Table_2[[#This Row],[Open]],6,1,"")</f>
        <v>2,54705</v>
      </c>
      <c r="AE101" s="44">
        <v>43453</v>
      </c>
      <c r="AF101" s="42" t="s">
        <v>462</v>
      </c>
      <c r="AG101" s="42" t="s">
        <v>278</v>
      </c>
      <c r="AH101" s="42" t="s">
        <v>376</v>
      </c>
      <c r="AI101" s="42" t="s">
        <v>89</v>
      </c>
      <c r="AJ101" s="42" t="s">
        <v>89</v>
      </c>
      <c r="AK101" s="42" t="s">
        <v>569</v>
      </c>
      <c r="AM101">
        <f t="shared" si="5"/>
        <v>1477.27</v>
      </c>
      <c r="AN101" t="str">
        <f>REPLACE(Table_2__2[[#This Row],[Open]],6,1,"")</f>
        <v>1,47727</v>
      </c>
      <c r="AO101" s="44">
        <v>43448</v>
      </c>
      <c r="AP101" s="42" t="s">
        <v>931</v>
      </c>
      <c r="AQ101" s="42" t="s">
        <v>932</v>
      </c>
      <c r="AR101" s="42" t="s">
        <v>933</v>
      </c>
      <c r="AS101" s="42" t="s">
        <v>934</v>
      </c>
      <c r="AT101" s="42" t="s">
        <v>934</v>
      </c>
      <c r="AU101" s="42" t="s">
        <v>12</v>
      </c>
    </row>
    <row r="102" spans="14:47" x14ac:dyDescent="0.3">
      <c r="N102" s="48"/>
      <c r="Y102" s="1">
        <v>99</v>
      </c>
      <c r="Z102" s="42"/>
      <c r="AA102" s="44">
        <f>Table_2[[#This Row],[Date]]</f>
        <v>43452</v>
      </c>
      <c r="AB102" s="42">
        <f t="shared" si="3"/>
        <v>1494.37</v>
      </c>
      <c r="AC102" s="42">
        <f t="shared" si="4"/>
        <v>2559.9</v>
      </c>
      <c r="AD102" s="42" t="str">
        <f>REPLACE(Table_2[[#This Row],[Open]],6,1,"")</f>
        <v>2,55990</v>
      </c>
      <c r="AE102" s="44">
        <v>43452</v>
      </c>
      <c r="AF102" s="42" t="s">
        <v>463</v>
      </c>
      <c r="AG102" s="42" t="s">
        <v>277</v>
      </c>
      <c r="AH102" s="42" t="s">
        <v>377</v>
      </c>
      <c r="AI102" s="42" t="s">
        <v>93</v>
      </c>
      <c r="AJ102" s="42" t="s">
        <v>93</v>
      </c>
      <c r="AK102" s="42" t="s">
        <v>570</v>
      </c>
      <c r="AM102">
        <f t="shared" si="5"/>
        <v>1494.37</v>
      </c>
      <c r="AN102" t="str">
        <f>REPLACE(Table_2__2[[#This Row],[Open]],6,1,"")</f>
        <v>1,49437</v>
      </c>
      <c r="AO102" s="44">
        <v>43447</v>
      </c>
      <c r="AP102" s="42" t="s">
        <v>935</v>
      </c>
      <c r="AQ102" s="42" t="s">
        <v>936</v>
      </c>
      <c r="AR102" s="42" t="s">
        <v>937</v>
      </c>
      <c r="AS102" s="42" t="s">
        <v>938</v>
      </c>
      <c r="AT102" s="42" t="s">
        <v>938</v>
      </c>
      <c r="AU102" s="42" t="s">
        <v>12</v>
      </c>
    </row>
    <row r="103" spans="14:47" x14ac:dyDescent="0.3">
      <c r="N103" s="48"/>
      <c r="Y103" s="1">
        <v>100</v>
      </c>
      <c r="AA103" s="44">
        <f>Table_2[[#This Row],[Date]]</f>
        <v>43451</v>
      </c>
      <c r="AB103" s="42">
        <f t="shared" si="3"/>
        <v>1465.78</v>
      </c>
      <c r="AC103" s="42">
        <f t="shared" si="4"/>
        <v>2590.75</v>
      </c>
      <c r="AD103" s="42" t="str">
        <f>REPLACE(Table_2[[#This Row],[Open]],6,1,"")</f>
        <v>2,59075</v>
      </c>
      <c r="AE103" s="44">
        <v>43451</v>
      </c>
      <c r="AF103" s="42" t="s">
        <v>464</v>
      </c>
      <c r="AG103" s="42" t="s">
        <v>279</v>
      </c>
      <c r="AH103" s="42" t="s">
        <v>378</v>
      </c>
      <c r="AI103" s="42" t="s">
        <v>92</v>
      </c>
      <c r="AJ103" s="42" t="s">
        <v>92</v>
      </c>
      <c r="AK103" s="42" t="s">
        <v>571</v>
      </c>
      <c r="AM103">
        <f t="shared" si="5"/>
        <v>1465.78</v>
      </c>
      <c r="AN103" t="str">
        <f>REPLACE(Table_2__2[[#This Row],[Open]],6,1,"")</f>
        <v>1,46578</v>
      </c>
      <c r="AO103" s="44">
        <v>43446</v>
      </c>
      <c r="AP103" s="42" t="s">
        <v>939</v>
      </c>
      <c r="AQ103" s="42" t="s">
        <v>940</v>
      </c>
      <c r="AR103" s="42" t="s">
        <v>941</v>
      </c>
      <c r="AS103" s="42" t="s">
        <v>940</v>
      </c>
      <c r="AT103" s="42" t="s">
        <v>940</v>
      </c>
      <c r="AU103" s="42" t="s">
        <v>12</v>
      </c>
    </row>
    <row r="104" spans="14:47" x14ac:dyDescent="0.3">
      <c r="N104" s="48"/>
    </row>
    <row r="105" spans="14:47" x14ac:dyDescent="0.3">
      <c r="N105" s="48"/>
    </row>
    <row r="106" spans="14:47" x14ac:dyDescent="0.3">
      <c r="N106" s="48"/>
    </row>
    <row r="107" spans="14:47" x14ac:dyDescent="0.3">
      <c r="N107" s="48"/>
    </row>
    <row r="108" spans="14:47" x14ac:dyDescent="0.3">
      <c r="N108" s="48"/>
    </row>
    <row r="109" spans="14:47" x14ac:dyDescent="0.3">
      <c r="N109" s="48"/>
    </row>
    <row r="110" spans="14:47" x14ac:dyDescent="0.3">
      <c r="N110" s="50"/>
    </row>
    <row r="111" spans="14:47" x14ac:dyDescent="0.3">
      <c r="N111" s="50"/>
    </row>
    <row r="112" spans="14:47" x14ac:dyDescent="0.3">
      <c r="N112" s="50"/>
    </row>
    <row r="113" spans="14:14" x14ac:dyDescent="0.3">
      <c r="N113" s="50"/>
    </row>
    <row r="114" spans="14:14" x14ac:dyDescent="0.3">
      <c r="N114" s="50"/>
    </row>
    <row r="115" spans="14:14" x14ac:dyDescent="0.3">
      <c r="N115" s="50"/>
    </row>
    <row r="116" spans="14:14" x14ac:dyDescent="0.3">
      <c r="N116" s="50"/>
    </row>
    <row r="117" spans="14:14" x14ac:dyDescent="0.3">
      <c r="N117" s="50"/>
    </row>
    <row r="118" spans="14:14" x14ac:dyDescent="0.3">
      <c r="N118" s="50"/>
    </row>
    <row r="119" spans="14:14" x14ac:dyDescent="0.3">
      <c r="N119" s="50"/>
    </row>
    <row r="120" spans="14:14" x14ac:dyDescent="0.3">
      <c r="N120" s="50"/>
    </row>
    <row r="121" spans="14:14" x14ac:dyDescent="0.3">
      <c r="N121" s="50"/>
    </row>
    <row r="122" spans="14:14" x14ac:dyDescent="0.3">
      <c r="N122" s="50"/>
    </row>
    <row r="123" spans="14:14" x14ac:dyDescent="0.3">
      <c r="N123" s="50"/>
    </row>
    <row r="124" spans="14:14" x14ac:dyDescent="0.3">
      <c r="N124" s="50"/>
    </row>
  </sheetData>
  <sheetProtection password="CE28" sheet="1" objects="1" scenarios="1"/>
  <pageMargins left="0.7" right="0.7" top="0.75" bottom="0.75" header="0.3" footer="0.3"/>
  <pageSetup orientation="portrait"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2870B0-640C-4662-90AE-AD41E324F7C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86</vt:i4>
      </vt:variant>
    </vt:vector>
  </HeadingPairs>
  <TitlesOfParts>
    <vt:vector size="94" baseType="lpstr">
      <vt:lpstr>SearchSheet</vt:lpstr>
      <vt:lpstr>MSFT</vt:lpstr>
      <vt:lpstr>XVIVO.ST</vt:lpstr>
      <vt:lpstr>1H3.SI</vt:lpstr>
      <vt:lpstr>AMZN</vt:lpstr>
      <vt:lpstr>C31.SI</vt:lpstr>
      <vt:lpstr>Overview</vt:lpstr>
      <vt:lpstr>Data</vt:lpstr>
      <vt:lpstr>'1H3.SI'!BetaValue</vt:lpstr>
      <vt:lpstr>AMZN!BetaValue</vt:lpstr>
      <vt:lpstr>C31.SI!BetaValue</vt:lpstr>
      <vt:lpstr>MSFT!BetaValue</vt:lpstr>
      <vt:lpstr>XVIVO.ST!BetaValue</vt:lpstr>
      <vt:lpstr>BetaValue</vt:lpstr>
      <vt:lpstr>BSComp1</vt:lpstr>
      <vt:lpstr>'1H3.SI'!BusinessInfo</vt:lpstr>
      <vt:lpstr>AMZN!BusinessInfo</vt:lpstr>
      <vt:lpstr>C31.SI!BusinessInfo</vt:lpstr>
      <vt:lpstr>MSFT!BusinessInfo</vt:lpstr>
      <vt:lpstr>XVIVO.ST!BusinessInfo</vt:lpstr>
      <vt:lpstr>BusinessInfo</vt:lpstr>
      <vt:lpstr>CFComp1</vt:lpstr>
      <vt:lpstr>ChartDate</vt:lpstr>
      <vt:lpstr>ChartOpen</vt:lpstr>
      <vt:lpstr>'1H3.SI'!CompName</vt:lpstr>
      <vt:lpstr>AMZN!CompName</vt:lpstr>
      <vt:lpstr>C31.SI!CompName</vt:lpstr>
      <vt:lpstr>MSFT!CompName</vt:lpstr>
      <vt:lpstr>XVIVO.ST!CompName</vt:lpstr>
      <vt:lpstr>CompName</vt:lpstr>
      <vt:lpstr>'1H3.SI'!CorruptData</vt:lpstr>
      <vt:lpstr>AMZN!CorruptData</vt:lpstr>
      <vt:lpstr>C31.SI!CorruptData</vt:lpstr>
      <vt:lpstr>MSFT!CorruptData</vt:lpstr>
      <vt:lpstr>XVIVO.ST!CorruptData</vt:lpstr>
      <vt:lpstr>CorruptData</vt:lpstr>
      <vt:lpstr>'1H3.SI'!CurrencyInfo</vt:lpstr>
      <vt:lpstr>AMZN!CurrencyInfo</vt:lpstr>
      <vt:lpstr>C31.SI!CurrencyInfo</vt:lpstr>
      <vt:lpstr>MSFT!CurrencyInfo</vt:lpstr>
      <vt:lpstr>XVIVO.ST!CurrencyInfo</vt:lpstr>
      <vt:lpstr>CurrencyInfo</vt:lpstr>
      <vt:lpstr>'1H3.SI'!DateComp</vt:lpstr>
      <vt:lpstr>AMZN!DateComp</vt:lpstr>
      <vt:lpstr>C31.SI!DateComp</vt:lpstr>
      <vt:lpstr>MSFT!DateComp</vt:lpstr>
      <vt:lpstr>XVIVO.ST!DateComp</vt:lpstr>
      <vt:lpstr>DateComp</vt:lpstr>
      <vt:lpstr>'1H3.SI'!EPS</vt:lpstr>
      <vt:lpstr>AMZN!EPS</vt:lpstr>
      <vt:lpstr>C31.SI!EPS</vt:lpstr>
      <vt:lpstr>MSFT!EPS</vt:lpstr>
      <vt:lpstr>XVIVO.ST!EPS</vt:lpstr>
      <vt:lpstr>EPS</vt:lpstr>
      <vt:lpstr>ISComp1</vt:lpstr>
      <vt:lpstr>'1H3.SI'!MarketValue</vt:lpstr>
      <vt:lpstr>AMZN!MarketValue</vt:lpstr>
      <vt:lpstr>C31.SI!MarketValue</vt:lpstr>
      <vt:lpstr>MSFT!MarketValue</vt:lpstr>
      <vt:lpstr>XVIVO.ST!MarketValue</vt:lpstr>
      <vt:lpstr>MarketValue</vt:lpstr>
      <vt:lpstr>'1H3.SI'!OpenComp</vt:lpstr>
      <vt:lpstr>AMZN!OpenComp</vt:lpstr>
      <vt:lpstr>C31.SI!OpenComp</vt:lpstr>
      <vt:lpstr>MSFT!OpenComp</vt:lpstr>
      <vt:lpstr>XVIVO.ST!OpenComp</vt:lpstr>
      <vt:lpstr>OpenComp</vt:lpstr>
      <vt:lpstr>'1H3.SI'!PERatio</vt:lpstr>
      <vt:lpstr>AMZN!PERatio</vt:lpstr>
      <vt:lpstr>C31.SI!PERatio</vt:lpstr>
      <vt:lpstr>MSFT!PERatio</vt:lpstr>
      <vt:lpstr>XVIVO.ST!PERatio</vt:lpstr>
      <vt:lpstr>PERatio</vt:lpstr>
      <vt:lpstr>'1H3.SI'!ReportDate</vt:lpstr>
      <vt:lpstr>AMZN!ReportDate</vt:lpstr>
      <vt:lpstr>C31.SI!ReportDate</vt:lpstr>
      <vt:lpstr>MSFT!ReportDate</vt:lpstr>
      <vt:lpstr>XVIVO.ST!ReportDate</vt:lpstr>
      <vt:lpstr>ReportDate</vt:lpstr>
      <vt:lpstr>RLC</vt:lpstr>
      <vt:lpstr>'1H3.SI'!SharePrice</vt:lpstr>
      <vt:lpstr>AMZN!SharePrice</vt:lpstr>
      <vt:lpstr>C31.SI!SharePrice</vt:lpstr>
      <vt:lpstr>MSFT!SharePrice</vt:lpstr>
      <vt:lpstr>XVIVO.ST!SharePrice</vt:lpstr>
      <vt:lpstr>SharePrice</vt:lpstr>
      <vt:lpstr>Ticker</vt:lpstr>
      <vt:lpstr>UpdateSettings</vt:lpstr>
      <vt:lpstr>'1H3.SI'!WeeksRange</vt:lpstr>
      <vt:lpstr>AMZN!WeeksRange</vt:lpstr>
      <vt:lpstr>C31.SI!WeeksRange</vt:lpstr>
      <vt:lpstr>MSFT!WeeksRange</vt:lpstr>
      <vt:lpstr>XVIVO.ST!WeeksRange</vt:lpstr>
      <vt:lpstr>WeeksRange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Arvid Landmark</cp:lastModifiedBy>
  <dcterms:created xsi:type="dcterms:W3CDTF">2015-06-05T18:17:20Z</dcterms:created>
  <dcterms:modified xsi:type="dcterms:W3CDTF">2019-09-21T06:50:26Z</dcterms:modified>
</cp:coreProperties>
</file>